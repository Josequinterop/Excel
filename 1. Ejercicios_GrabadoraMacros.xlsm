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/>
  <mc:AlternateContent xmlns:mc="http://schemas.openxmlformats.org/markup-compatibility/2006">
    <mc:Choice Requires="x15">
      <x15ac:absPath xmlns:x15ac="http://schemas.microsoft.com/office/spreadsheetml/2010/11/ac" url="C:\Users\HP\Desktop\Powerapps\WE-Excel Avanzado\"/>
    </mc:Choice>
  </mc:AlternateContent>
  <bookViews>
    <workbookView xWindow="0" yWindow="0" windowWidth="20490" windowHeight="7755" activeTab="4"/>
  </bookViews>
  <sheets>
    <sheet name="Ejercicio-Básico" sheetId="1" r:id="rId1"/>
    <sheet name="Ejercicio-Básico 2" sheetId="2" r:id="rId2"/>
    <sheet name="Tabla" sheetId="3" r:id="rId3"/>
    <sheet name="Ejercicio-Referencias Relativa" sheetId="4" r:id="rId4"/>
    <sheet name="Filtro Avanzado" sheetId="5" r:id="rId5"/>
    <sheet name="Ejercicio-Filtro Avanzado" sheetId="6" state="hidden" r:id="rId6"/>
    <sheet name="Ejercicio3" sheetId="7" state="hidden" r:id="rId7"/>
  </sheets>
  <definedNames>
    <definedName name="_xlnm._FilterDatabase" localSheetId="4" hidden="1">'Filtro Avanzado'!$A$5:$O$86</definedName>
    <definedName name="_xlnm.Criteria" localSheetId="4">'Filtro Avanzado'!$A$1:$O$2</definedName>
  </definedNames>
  <calcPr calcId="152511"/>
  <extLst>
    <ext uri="GoogleSheetsCustomDataVersion2">
      <go:sheetsCustomData xmlns:go="http://customooxmlschemas.google.com/" r:id="rId11" roundtripDataChecksum="nn0j/GY3k/4JW2fG1KL/hZHupcCwnd10fRLKkzo8iGA="/>
    </ext>
  </extLst>
</workbook>
</file>

<file path=xl/calcChain.xml><?xml version="1.0" encoding="utf-8"?>
<calcChain xmlns="http://schemas.openxmlformats.org/spreadsheetml/2006/main">
  <c r="B16" i="6" l="1"/>
  <c r="M86" i="5"/>
  <c r="K86" i="5"/>
  <c r="M85" i="5"/>
  <c r="K85" i="5"/>
  <c r="M84" i="5"/>
  <c r="K84" i="5"/>
  <c r="M83" i="5"/>
  <c r="K83" i="5"/>
  <c r="M82" i="5"/>
  <c r="K82" i="5"/>
  <c r="M81" i="5"/>
  <c r="K81" i="5"/>
  <c r="M80" i="5"/>
  <c r="K80" i="5"/>
  <c r="M79" i="5"/>
  <c r="K79" i="5"/>
  <c r="M78" i="5"/>
  <c r="K78" i="5"/>
  <c r="M77" i="5"/>
  <c r="K77" i="5"/>
  <c r="M76" i="5"/>
  <c r="K76" i="5"/>
  <c r="M75" i="5"/>
  <c r="K75" i="5"/>
  <c r="M74" i="5"/>
  <c r="K74" i="5"/>
  <c r="M73" i="5"/>
  <c r="K73" i="5"/>
  <c r="M72" i="5"/>
  <c r="K72" i="5"/>
  <c r="M71" i="5"/>
  <c r="K71" i="5"/>
  <c r="M70" i="5"/>
  <c r="K70" i="5"/>
  <c r="M69" i="5"/>
  <c r="K69" i="5"/>
  <c r="M68" i="5"/>
  <c r="K68" i="5"/>
  <c r="M67" i="5"/>
  <c r="K67" i="5"/>
  <c r="M66" i="5"/>
  <c r="K66" i="5"/>
  <c r="M65" i="5"/>
  <c r="K65" i="5"/>
  <c r="M64" i="5"/>
  <c r="K64" i="5"/>
  <c r="M63" i="5"/>
  <c r="K63" i="5"/>
  <c r="M62" i="5"/>
  <c r="K62" i="5"/>
  <c r="M61" i="5"/>
  <c r="K61" i="5"/>
  <c r="M60" i="5"/>
  <c r="K60" i="5"/>
  <c r="M59" i="5"/>
  <c r="K59" i="5"/>
  <c r="M58" i="5"/>
  <c r="K58" i="5"/>
  <c r="M57" i="5"/>
  <c r="K57" i="5"/>
  <c r="M56" i="5"/>
  <c r="K56" i="5"/>
  <c r="M55" i="5"/>
  <c r="K55" i="5"/>
  <c r="M54" i="5"/>
  <c r="K54" i="5"/>
  <c r="M53" i="5"/>
  <c r="K53" i="5"/>
  <c r="M52" i="5"/>
  <c r="K52" i="5"/>
  <c r="M51" i="5"/>
  <c r="K51" i="5"/>
  <c r="K34" i="2"/>
  <c r="E34" i="2"/>
  <c r="L34" i="2" s="1"/>
  <c r="L33" i="2"/>
  <c r="K33" i="2"/>
  <c r="E33" i="2"/>
  <c r="K32" i="2"/>
  <c r="E32" i="2"/>
  <c r="L32" i="2" s="1"/>
  <c r="K31" i="2"/>
  <c r="E31" i="2"/>
  <c r="L31" i="2" s="1"/>
  <c r="K30" i="2"/>
  <c r="E30" i="2"/>
  <c r="L30" i="2" s="1"/>
  <c r="L29" i="2"/>
  <c r="K29" i="2"/>
  <c r="E29" i="2"/>
  <c r="K28" i="2"/>
  <c r="E28" i="2"/>
  <c r="L28" i="2" s="1"/>
  <c r="K27" i="2"/>
  <c r="E27" i="2"/>
  <c r="L27" i="2" s="1"/>
  <c r="K26" i="2"/>
  <c r="E26" i="2"/>
  <c r="L26" i="2" s="1"/>
  <c r="L25" i="2"/>
  <c r="K25" i="2"/>
  <c r="E25" i="2"/>
  <c r="K24" i="2"/>
  <c r="E24" i="2"/>
  <c r="L24" i="2" s="1"/>
  <c r="K23" i="2"/>
  <c r="E23" i="2"/>
  <c r="L23" i="2" s="1"/>
</calcChain>
</file>

<file path=xl/comments1.xml><?xml version="1.0" encoding="utf-8"?>
<comments xmlns="http://schemas.openxmlformats.org/spreadsheetml/2006/main">
  <authors>
    <author/>
  </authors>
  <commentList>
    <comment ref="G22" authorId="0" shapeId="0">
      <text>
        <r>
          <rPr>
            <sz val="11"/>
            <color theme="1"/>
            <rFont val="Calibri"/>
            <scheme val="minor"/>
          </rPr>
          <t>======
ID#AAABGjUCIug
Miguel Velasquez A.    (2024-03-06 22:19:00)
8% de los Ingresos</t>
        </r>
      </text>
    </comment>
    <comment ref="H22" authorId="0" shapeId="0">
      <text>
        <r>
          <rPr>
            <sz val="11"/>
            <color theme="1"/>
            <rFont val="Calibri"/>
            <scheme val="minor"/>
          </rPr>
          <t>======
ID#AAABGjUCIuc
Miguel Velasquez A.    (2024-03-06 22:19:00)
2% de los Ingresos</t>
        </r>
      </text>
    </comment>
    <comment ref="I22" authorId="0" shapeId="0">
      <text>
        <r>
          <rPr>
            <sz val="11"/>
            <color theme="1"/>
            <rFont val="Calibri"/>
            <scheme val="minor"/>
          </rPr>
          <t>======
ID#AAABGjUCIuk
Miguel Velasquez A.    (2024-03-06 22:19:00)
12% de los Ingresos</t>
        </r>
      </text>
    </comment>
    <comment ref="K22" authorId="0" shapeId="0">
      <text>
        <r>
          <rPr>
            <sz val="11"/>
            <color theme="1"/>
            <rFont val="Calibri"/>
            <scheme val="minor"/>
          </rPr>
          <t>======
ID#AAABGjUCIuo
Miguel Velasquez A.    (2024-03-06 22:19:00)
Gastos
+
ESSalud
+
FONAVI
+
AFP
+
Donaciones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y+SA6WJLydaxRpFHzaOJGPz5aHQ=="/>
    </ext>
  </extLst>
</comments>
</file>

<file path=xl/sharedStrings.xml><?xml version="1.0" encoding="utf-8"?>
<sst xmlns="http://schemas.openxmlformats.org/spreadsheetml/2006/main" count="1000" uniqueCount="411">
  <si>
    <t>Lista de acciones</t>
  </si>
  <si>
    <t>1. Escribir en la celda H3 el texto "Hola mundo"</t>
  </si>
  <si>
    <t>2. Aplicar negrita</t>
  </si>
  <si>
    <t>3. Aplicar cursiva</t>
  </si>
  <si>
    <t>4. Aplicar subrayado</t>
  </si>
  <si>
    <t>5. Color de Relleno Amarillo</t>
  </si>
  <si>
    <t>EJERCICIOS: Grabar macros para los siguientes procedimientos</t>
  </si>
  <si>
    <t>HACER UNA COPIA DEL CONTENIDO DE LA CELDA "C5" Y PEGARLO EN LA CELDA "E5":</t>
  </si>
  <si>
    <t>EXCEL</t>
  </si>
  <si>
    <t xml:space="preserve">HACER UNA COPIA DE UNO DE LOS CURSOS QUE SE ESCOJA DE LA LISTA Y PEGARLO EN EL RECUADRO </t>
  </si>
  <si>
    <t>CURSOS</t>
  </si>
  <si>
    <t>CURSO</t>
  </si>
  <si>
    <t>WORD</t>
  </si>
  <si>
    <t>POWER POINT</t>
  </si>
  <si>
    <t>ACCESS</t>
  </si>
  <si>
    <t>OUTLOOK</t>
  </si>
  <si>
    <t>VISIO</t>
  </si>
  <si>
    <t>COPIAR LA TABLA SIGUIENTE Y PEGARLO EN LA HOJA "TABLA"</t>
  </si>
  <si>
    <t>TAMBIEN AGREGAR UN BOTON QUE ELIMINE LA TABLA QUE SE PEGO EN LA HOJA "TABLA"</t>
  </si>
  <si>
    <t>MES DE PAGO</t>
  </si>
  <si>
    <t>Ingresos</t>
  </si>
  <si>
    <t>Ingresos Adicionales</t>
  </si>
  <si>
    <t>Total de
Ingresos</t>
  </si>
  <si>
    <t>Gastos</t>
  </si>
  <si>
    <t>ESSalud</t>
  </si>
  <si>
    <t>FONAVI</t>
  </si>
  <si>
    <t>AFP</t>
  </si>
  <si>
    <t>Donaciones</t>
  </si>
  <si>
    <t>Total de
Gastos</t>
  </si>
  <si>
    <t>Ingresos - Gastos
(monto Imponible)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</si>
  <si>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</si>
  <si>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</si>
  <si>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</si>
  <si>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</si>
  <si>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</si>
  <si>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</si>
  <si>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</si>
  <si>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</si>
  <si>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</si>
  <si>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</si>
  <si>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</si>
  <si>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</si>
  <si>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COPIAR Y PEGAR LA TABLA ANTERIOR EN UNA HOJA NUEVA CADA VEZ QUE SE PRESIONE UN BOTON QUE DIGA "COPIAR EN OTRA HOJA"</t>
  </si>
  <si>
    <t>Tabla sin formato</t>
  </si>
  <si>
    <t>Tabla con formato</t>
  </si>
  <si>
    <t>Data Ejemplo</t>
  </si>
  <si>
    <t>Encabezado1</t>
  </si>
  <si>
    <t>Encabezado2</t>
  </si>
  <si>
    <t>Encabezado3</t>
  </si>
  <si>
    <t>Dato</t>
  </si>
  <si>
    <t>Data Alumnos</t>
  </si>
  <si>
    <t>Data Profesores</t>
  </si>
  <si>
    <t>Data Cursos</t>
  </si>
  <si>
    <t>Codigo</t>
  </si>
  <si>
    <t>Nombre</t>
  </si>
  <si>
    <t>Edad</t>
  </si>
  <si>
    <t>Antigüedad</t>
  </si>
  <si>
    <t>Descripcion</t>
  </si>
  <si>
    <t>Nivel</t>
  </si>
  <si>
    <t>Horario</t>
  </si>
  <si>
    <t>A001</t>
  </si>
  <si>
    <t>Pedro</t>
  </si>
  <si>
    <t>P001</t>
  </si>
  <si>
    <t>Luz</t>
  </si>
  <si>
    <t>C001</t>
  </si>
  <si>
    <t>Lenguaje</t>
  </si>
  <si>
    <t>Primaria</t>
  </si>
  <si>
    <t>9 am - 11 am</t>
  </si>
  <si>
    <t>A002</t>
  </si>
  <si>
    <t>Osmer</t>
  </si>
  <si>
    <t>P002</t>
  </si>
  <si>
    <t>Mateo</t>
  </si>
  <si>
    <t>C002</t>
  </si>
  <si>
    <t>Historia del Perú</t>
  </si>
  <si>
    <t>11 am - 1 pm</t>
  </si>
  <si>
    <t>A003</t>
  </si>
  <si>
    <t>Nataly</t>
  </si>
  <si>
    <t>C003</t>
  </si>
  <si>
    <t>Matemáticas</t>
  </si>
  <si>
    <t>Secundaria</t>
  </si>
  <si>
    <t>9 am - 1 pm</t>
  </si>
  <si>
    <t>A004</t>
  </si>
  <si>
    <t>Gerardo</t>
  </si>
  <si>
    <t>Carrera</t>
  </si>
  <si>
    <t>Curso</t>
  </si>
  <si>
    <t>Turno</t>
  </si>
  <si>
    <t>Ciclo</t>
  </si>
  <si>
    <t>Alumnos</t>
  </si>
  <si>
    <t>Puntuales</t>
  </si>
  <si>
    <t>Morosos</t>
  </si>
  <si>
    <t>Monto Cancelado</t>
  </si>
  <si>
    <t>Monto en Deuda</t>
  </si>
  <si>
    <t>Asistentes</t>
  </si>
  <si>
    <t>Ausentes</t>
  </si>
  <si>
    <t>Aprobados</t>
  </si>
  <si>
    <t>Desaprobados</t>
  </si>
  <si>
    <t>Fecha Inicio</t>
  </si>
  <si>
    <t>Local</t>
  </si>
  <si>
    <t>INGENIERÍA CIVIL</t>
  </si>
  <si>
    <t>1111AA</t>
  </si>
  <si>
    <t>Mañana</t>
  </si>
  <si>
    <t>Primero</t>
  </si>
  <si>
    <t>Lima Centro</t>
  </si>
  <si>
    <t>1214AA</t>
  </si>
  <si>
    <t>Segundo</t>
  </si>
  <si>
    <t>1312AA</t>
  </si>
  <si>
    <t>Tercero</t>
  </si>
  <si>
    <t>1313AA</t>
  </si>
  <si>
    <t>1417AA</t>
  </si>
  <si>
    <t>Cuarto</t>
  </si>
  <si>
    <t>1510AA</t>
  </si>
  <si>
    <t>Quinto</t>
  </si>
  <si>
    <t>1614AA</t>
  </si>
  <si>
    <t>Sexto</t>
  </si>
  <si>
    <t>2210AA</t>
  </si>
  <si>
    <t>Tarde</t>
  </si>
  <si>
    <t>2410AA</t>
  </si>
  <si>
    <t>2505AA</t>
  </si>
  <si>
    <t>2506AA</t>
  </si>
  <si>
    <t>2611AA</t>
  </si>
  <si>
    <t>3109AA</t>
  </si>
  <si>
    <t>Noche</t>
  </si>
  <si>
    <t>Lima Norte</t>
  </si>
  <si>
    <t>3110AA</t>
  </si>
  <si>
    <t>3206AA</t>
  </si>
  <si>
    <t>3207AA</t>
  </si>
  <si>
    <t>3208AA</t>
  </si>
  <si>
    <t>3209AA</t>
  </si>
  <si>
    <t>3314AA</t>
  </si>
  <si>
    <t>3315AA</t>
  </si>
  <si>
    <t>3411AA</t>
  </si>
  <si>
    <t>3512AA</t>
  </si>
  <si>
    <t>3605AA</t>
  </si>
  <si>
    <t>HOTELERÍA</t>
  </si>
  <si>
    <t>1125CC</t>
  </si>
  <si>
    <t>1210CC</t>
  </si>
  <si>
    <t>1211CC</t>
  </si>
  <si>
    <t>1313CC</t>
  </si>
  <si>
    <t>1411CC</t>
  </si>
  <si>
    <t>1518CC</t>
  </si>
  <si>
    <t>1623CC</t>
  </si>
  <si>
    <t>1708CC</t>
  </si>
  <si>
    <t>SIDET</t>
  </si>
  <si>
    <t>2109CC</t>
  </si>
  <si>
    <t>2234CC</t>
  </si>
  <si>
    <t>2211CC</t>
  </si>
  <si>
    <t>2336CC</t>
  </si>
  <si>
    <t>2337CC</t>
  </si>
  <si>
    <t>2413CC</t>
  </si>
  <si>
    <t>2523CC</t>
  </si>
  <si>
    <t>2615CC</t>
  </si>
  <si>
    <t>3147CC</t>
  </si>
  <si>
    <t>3225CC</t>
  </si>
  <si>
    <t>3318CC</t>
  </si>
  <si>
    <t>3412CC</t>
  </si>
  <si>
    <t>3514CC</t>
  </si>
  <si>
    <t>3710CC</t>
  </si>
  <si>
    <t>ARQUITECTURA</t>
  </si>
  <si>
    <t>1108CX</t>
  </si>
  <si>
    <t>Lima Este</t>
  </si>
  <si>
    <t>1214CX</t>
  </si>
  <si>
    <t>1306CX</t>
  </si>
  <si>
    <t>1307CX</t>
  </si>
  <si>
    <t>1413CX</t>
  </si>
  <si>
    <t>1506CX</t>
  </si>
  <si>
    <t>1608CX</t>
  </si>
  <si>
    <t>1609CX</t>
  </si>
  <si>
    <t>2113CX</t>
  </si>
  <si>
    <t>2207CX</t>
  </si>
  <si>
    <t>2208CX</t>
  </si>
  <si>
    <t>2311CX</t>
  </si>
  <si>
    <t>2422CX</t>
  </si>
  <si>
    <t>2506CX</t>
  </si>
  <si>
    <t>2610CX</t>
  </si>
  <si>
    <t>3110CX</t>
  </si>
  <si>
    <t>3205CX</t>
  </si>
  <si>
    <t>3309CX</t>
  </si>
  <si>
    <t>3410CX</t>
  </si>
  <si>
    <t>3514CX</t>
  </si>
  <si>
    <t>3613CX</t>
  </si>
  <si>
    <t>3715CX</t>
  </si>
  <si>
    <t>MARKETING</t>
  </si>
  <si>
    <t>1113MK</t>
  </si>
  <si>
    <t>1205MK</t>
  </si>
  <si>
    <t>1314MK</t>
  </si>
  <si>
    <t>1410MK</t>
  </si>
  <si>
    <t>1521MK</t>
  </si>
  <si>
    <t>1617MK</t>
  </si>
  <si>
    <t>1708MK</t>
  </si>
  <si>
    <t>3110MK</t>
  </si>
  <si>
    <t>3111MK</t>
  </si>
  <si>
    <t>3205MK</t>
  </si>
  <si>
    <t>3306MK</t>
  </si>
  <si>
    <t>3410MK</t>
  </si>
  <si>
    <t>3615MK</t>
  </si>
  <si>
    <t>3708MK</t>
  </si>
  <si>
    <t>EJERCICIO: Filtro Avanzado</t>
  </si>
  <si>
    <t>Cree una macro que filtre la tabla de Ventas en base a las opciones dadas, también cree una macro que quite los filtros.</t>
  </si>
  <si>
    <t>Cod Área</t>
  </si>
  <si>
    <t>Área de empleado</t>
  </si>
  <si>
    <t>Callao</t>
  </si>
  <si>
    <t>Lima Sur</t>
  </si>
  <si>
    <t>Cód Vendedor</t>
  </si>
  <si>
    <t>DNI</t>
  </si>
  <si>
    <t>Vendedor</t>
  </si>
  <si>
    <t>Volumen de ventas</t>
  </si>
  <si>
    <t>E00352</t>
  </si>
  <si>
    <t>Cámero Kuroki, Patricia Lourdes</t>
  </si>
  <si>
    <t>E00228</t>
  </si>
  <si>
    <t>Woll Pizarro, Ursula Kay</t>
  </si>
  <si>
    <t>E00338</t>
  </si>
  <si>
    <t>Hurtado Morales, Reyna</t>
  </si>
  <si>
    <t>E00445</t>
  </si>
  <si>
    <t>Vilca Vásquez, Jessica</t>
  </si>
  <si>
    <t>E00313</t>
  </si>
  <si>
    <t>Ordinola Delgado, Lidia Socorro</t>
  </si>
  <si>
    <t>E00498</t>
  </si>
  <si>
    <t>Lambruschini Tarazona, Erika Sarita</t>
  </si>
  <si>
    <t>E00345</t>
  </si>
  <si>
    <t xml:space="preserve">Chau Dimitriades, Jorge </t>
  </si>
  <si>
    <t>E00457</t>
  </si>
  <si>
    <t xml:space="preserve">Zuschrott García, Valery </t>
  </si>
  <si>
    <t>E00123</t>
  </si>
  <si>
    <t xml:space="preserve">Aguilar Casas, Samuel </t>
  </si>
  <si>
    <t>E00125</t>
  </si>
  <si>
    <t xml:space="preserve">Barrientos Bórquez, Gabriela </t>
  </si>
  <si>
    <t>E00141</t>
  </si>
  <si>
    <t>Alban Cuestas, Gina Cecilia</t>
  </si>
  <si>
    <t>E00320</t>
  </si>
  <si>
    <t>Pujaico Gutierrez, Jessica Karina</t>
  </si>
  <si>
    <t>E00404</t>
  </si>
  <si>
    <t>Gil, Liz Karen</t>
  </si>
  <si>
    <t>E00197</t>
  </si>
  <si>
    <t xml:space="preserve">Aldana Gonzáles, Rocio </t>
  </si>
  <si>
    <t>E00371</t>
  </si>
  <si>
    <t>De Souza Ferreyra Seminario, Blanca Deborah</t>
  </si>
  <si>
    <t>E00295</t>
  </si>
  <si>
    <t>Torres Alarcón, Karina Alejandra</t>
  </si>
  <si>
    <t>E00244</t>
  </si>
  <si>
    <t>Paredes Villarreal, Darlín Milagros</t>
  </si>
  <si>
    <t>E00497</t>
  </si>
  <si>
    <t xml:space="preserve">Galindo Ranilla, Milagros </t>
  </si>
  <si>
    <t>E00036</t>
  </si>
  <si>
    <t xml:space="preserve">Galindo Ranilla, Lourdes </t>
  </si>
  <si>
    <t>E00189</t>
  </si>
  <si>
    <t xml:space="preserve">Nacarino Gónzales, Yenni </t>
  </si>
  <si>
    <t>E00097</t>
  </si>
  <si>
    <t>López Carranza, María Fernanda</t>
  </si>
  <si>
    <t>E00165</t>
  </si>
  <si>
    <t>Cámero Kuroki, Fanny Julissa</t>
  </si>
  <si>
    <t>E00307</t>
  </si>
  <si>
    <t>Cámero Kuroki, Aida Rosa</t>
  </si>
  <si>
    <t>E00083</t>
  </si>
  <si>
    <t>Sotelo Godoy, Sandra Eulalia</t>
  </si>
  <si>
    <t>ID empleado</t>
  </si>
  <si>
    <t>Nombre y Apellidos</t>
  </si>
  <si>
    <t>Facultad</t>
  </si>
  <si>
    <t>Cargo</t>
  </si>
  <si>
    <t>Salario</t>
  </si>
  <si>
    <t>Codigos por facultad</t>
  </si>
  <si>
    <t>Requerimiento</t>
  </si>
  <si>
    <t>Jeronimo Burgos</t>
  </si>
  <si>
    <t>Administración</t>
  </si>
  <si>
    <t>Administrativo</t>
  </si>
  <si>
    <t>#Rep</t>
  </si>
  <si>
    <t>Todos los dias recibe una tabla similar a la mostrada en las columnas A-E; realizar los siguientes pasos:</t>
  </si>
  <si>
    <t>Estefania Villegas</t>
  </si>
  <si>
    <t>Docente</t>
  </si>
  <si>
    <t>F001</t>
  </si>
  <si>
    <t>Guillermo Fernandez</t>
  </si>
  <si>
    <t>Diseño</t>
  </si>
  <si>
    <t>F002</t>
  </si>
  <si>
    <t>1. Separar los nombres y apellidos</t>
  </si>
  <si>
    <t>Eliana Ramirez</t>
  </si>
  <si>
    <t>Comunicación</t>
  </si>
  <si>
    <t>F003</t>
  </si>
  <si>
    <t>2. Asignar código de cada facultad</t>
  </si>
  <si>
    <t>Jose Carmona</t>
  </si>
  <si>
    <t>Ingeniería</t>
  </si>
  <si>
    <t>F004</t>
  </si>
  <si>
    <t>3. Contar número de repeticiones por cargo/facultad</t>
  </si>
  <si>
    <t>Marcela De santis</t>
  </si>
  <si>
    <t>Aux. Administrativo</t>
  </si>
  <si>
    <t>Medicina</t>
  </si>
  <si>
    <t>F005</t>
  </si>
  <si>
    <t>4. Completar estadísticas relacionadas al salario</t>
  </si>
  <si>
    <t>Daniela Franco</t>
  </si>
  <si>
    <t>Derecho</t>
  </si>
  <si>
    <t>F006</t>
  </si>
  <si>
    <t>Nota: Adicione las columnas necesarias</t>
  </si>
  <si>
    <t>Rafael Cortes</t>
  </si>
  <si>
    <t>Publicidad</t>
  </si>
  <si>
    <t>F007</t>
  </si>
  <si>
    <t>Camilo Berrio</t>
  </si>
  <si>
    <t>Francisco Arias</t>
  </si>
  <si>
    <t>Información salario</t>
  </si>
  <si>
    <t>Antonio Merizalde</t>
  </si>
  <si>
    <t>Ver</t>
  </si>
  <si>
    <t>Resultado</t>
  </si>
  <si>
    <t>Karen Restrepo</t>
  </si>
  <si>
    <t>Máximo</t>
  </si>
  <si>
    <t>David Lemus</t>
  </si>
  <si>
    <t>Mínimo</t>
  </si>
  <si>
    <t>Javier Santana</t>
  </si>
  <si>
    <t>Media</t>
  </si>
  <si>
    <t>Virginia Saldarriaga</t>
  </si>
  <si>
    <t>Mediana</t>
  </si>
  <si>
    <t>Sergio Posada</t>
  </si>
  <si>
    <t>Total</t>
  </si>
  <si>
    <t xml:space="preserve">Jorge Zea </t>
  </si>
  <si>
    <t>Conteo</t>
  </si>
  <si>
    <t xml:space="preserve">Mariana Diaz </t>
  </si>
  <si>
    <t>Esteban Giraldo</t>
  </si>
  <si>
    <t>Jorge Idarraga</t>
  </si>
  <si>
    <t>Alejandro Simanca</t>
  </si>
  <si>
    <t>Angelina Pulgarin</t>
  </si>
  <si>
    <t>Brenda Aguirre</t>
  </si>
  <si>
    <t>Gloria Tamayo</t>
  </si>
  <si>
    <t xml:space="preserve">Andrea Carmona </t>
  </si>
  <si>
    <t xml:space="preserve">Lucero Diaz </t>
  </si>
  <si>
    <t>Angela Alzate</t>
  </si>
  <si>
    <t>Técnico</t>
  </si>
  <si>
    <t>Felipe Arango</t>
  </si>
  <si>
    <t>Elena Garces</t>
  </si>
  <si>
    <t>Carmen Uribe</t>
  </si>
  <si>
    <t>Daniel Ospina</t>
  </si>
  <si>
    <t>Alberto Peláez</t>
  </si>
  <si>
    <t>Elena Perez</t>
  </si>
  <si>
    <t>Sebastian Carmona</t>
  </si>
  <si>
    <t>Oscar Cifuentes</t>
  </si>
  <si>
    <t>Santiago Jaramillo</t>
  </si>
  <si>
    <t>Luis Melano</t>
  </si>
  <si>
    <t>Tammy Mendez</t>
  </si>
  <si>
    <t>Tomas Ramirez</t>
  </si>
  <si>
    <t>Felipe Girando</t>
  </si>
  <si>
    <t>Patricia Diez</t>
  </si>
  <si>
    <t>Luisa Sierra</t>
  </si>
  <si>
    <t>Sara Vallejo</t>
  </si>
  <si>
    <t>Alexandra Guerrero</t>
  </si>
  <si>
    <t>Lisa Guerra</t>
  </si>
  <si>
    <t xml:space="preserve">Ana Rodríguez </t>
  </si>
  <si>
    <t>Sofia Marulanda</t>
  </si>
  <si>
    <t>Paula Palacio</t>
  </si>
  <si>
    <t>Jesus Bermudez</t>
  </si>
  <si>
    <t>Roberta Toledo</t>
  </si>
  <si>
    <t>Tatiana Arango</t>
  </si>
  <si>
    <t>Melina Acevedo</t>
  </si>
  <si>
    <t>Cristina Cock</t>
  </si>
  <si>
    <t>Manuela Casadiegos</t>
  </si>
  <si>
    <t>Isabel Salamanca</t>
  </si>
  <si>
    <t>Juan Arango</t>
  </si>
  <si>
    <t>Luisa Granda</t>
  </si>
  <si>
    <t xml:space="preserve">Monica Arango </t>
  </si>
  <si>
    <t>Federico Arroyave</t>
  </si>
  <si>
    <t>Dalia Lemos</t>
  </si>
  <si>
    <t>Ana Jaramillo</t>
  </si>
  <si>
    <t>Maria Lema</t>
  </si>
  <si>
    <t>Diana Caro</t>
  </si>
  <si>
    <t>Amalia Vergara</t>
  </si>
  <si>
    <t>Julian Duque</t>
  </si>
  <si>
    <t>Maritza Muñoz</t>
  </si>
  <si>
    <t>Andrés Peláez</t>
  </si>
  <si>
    <t>Miguel Sanchez</t>
  </si>
  <si>
    <t>Carolina Cano</t>
  </si>
  <si>
    <t>Jessica Marquez</t>
  </si>
  <si>
    <t>Samuel Rico</t>
  </si>
  <si>
    <t>Gustavo Mendez</t>
  </si>
  <si>
    <t>Karina Jimenez</t>
  </si>
  <si>
    <t>Julieth Osorio</t>
  </si>
  <si>
    <t>Lina Villamizar</t>
  </si>
  <si>
    <t>Carlos Gomez</t>
  </si>
  <si>
    <t>Simón Gracía</t>
  </si>
  <si>
    <t>Monica Castro</t>
  </si>
  <si>
    <t>Melisa Uribe</t>
  </si>
  <si>
    <t>Alejandra Florez</t>
  </si>
  <si>
    <t>Amalia Gutierrez</t>
  </si>
  <si>
    <t>Raquel Medina</t>
  </si>
  <si>
    <t>Gonzalo Betancur</t>
  </si>
  <si>
    <t>Santiago Betancurt</t>
  </si>
  <si>
    <t>Isabella Marquez</t>
  </si>
  <si>
    <t>Karla Molina</t>
  </si>
  <si>
    <t>Aux. Técnico</t>
  </si>
  <si>
    <t>Hilda Rodriguez</t>
  </si>
  <si>
    <t>Victoria Hincapie</t>
  </si>
  <si>
    <t xml:space="preserve">Pablo Rojas </t>
  </si>
  <si>
    <t>Pamela Serna</t>
  </si>
  <si>
    <t>Stepania Zapata</t>
  </si>
  <si>
    <t>Manuel Toro</t>
  </si>
  <si>
    <t>Barbara Henao</t>
  </si>
  <si>
    <t>Leonardo Vasquez</t>
  </si>
  <si>
    <t>Juliana Castrillón</t>
  </si>
  <si>
    <t>Dinara Lopez</t>
  </si>
  <si>
    <t>Elisa Mota</t>
  </si>
  <si>
    <t>Alicia Perez</t>
  </si>
  <si>
    <t>Carlos Posada</t>
  </si>
  <si>
    <t>Mauricio Arango</t>
  </si>
  <si>
    <t>Adriana Hoyos</t>
  </si>
  <si>
    <t>Miguel Suarez</t>
  </si>
  <si>
    <t>Docente investigador</t>
  </si>
  <si>
    <t>Natalia Aristizabal</t>
  </si>
  <si>
    <t xml:space="preserve">Camila Dominguez </t>
  </si>
  <si>
    <t>Susana Ruiz</t>
  </si>
  <si>
    <t>Cathy Higuita</t>
  </si>
  <si>
    <t>Catalina Osorio</t>
  </si>
  <si>
    <t>Mariana Gomez</t>
  </si>
  <si>
    <t>Jacobo Bustos</t>
  </si>
  <si>
    <t>Gabriel Rodas</t>
  </si>
  <si>
    <t>Sandra Cano</t>
  </si>
  <si>
    <t xml:space="preserve">Evelyn Diaz </t>
  </si>
  <si>
    <t xml:space="preserve">Juan Hernandez </t>
  </si>
  <si>
    <t>David Jaramillo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</si>
</sst>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,##0.0"/>
    <numFmt numFmtId="165" formatCode="d/m/yyyy"/>
    <numFmt numFmtId="166" formatCode="&quot;S/.&quot;* #,##0.00"/>
    <numFmt numFmtId="167" formatCode="&quot;$&quot;#,##0_);[Red]\(&quot;$&quot;#,##0\)"/>
    <numFmt numFmtId="168" formatCode="_ &quot;S/&quot;\ * #,##0_ ;_ &quot;S/&quot;\ * \-#,##0_ ;_ &quot;S/&quot;\ * &quot;-&quot;??_ ;_ @_ "/>
  </numFmts>
  <fonts count="26">
    <font>
      <sz val="11"/>
      <color theme="1"/>
      <name val="Calibri"/>
      <scheme val="minor"/>
    </font>
    <font>
      <sz val="20"/>
      <color theme="1"/>
      <name val="Franklin Gothic"/>
    </font>
    <font>
      <sz val="11"/>
      <name val="Calibri"/>
    </font>
    <font>
      <sz val="12"/>
      <color theme="1"/>
      <name val="Calibri"/>
    </font>
    <font>
      <b/>
      <sz val="18"/>
      <color theme="0"/>
      <name val="Calibri"/>
    </font>
    <font>
      <b/>
      <sz val="11"/>
      <color theme="0"/>
      <name val="Calibri"/>
    </font>
    <font>
      <sz val="11"/>
      <color theme="1"/>
      <name val="Calibri"/>
    </font>
    <font>
      <sz val="11"/>
      <color rgb="FFFF0000"/>
      <name val="Calibri"/>
    </font>
    <font>
      <b/>
      <sz val="11"/>
      <color rgb="FFFF0000"/>
      <name val="Calibri"/>
    </font>
    <font>
      <b/>
      <sz val="11"/>
      <color theme="1"/>
      <name val="Calibri"/>
    </font>
    <font>
      <sz val="11"/>
      <color theme="1"/>
      <name val="Calibri"/>
      <scheme val="minor"/>
    </font>
    <font>
      <b/>
      <sz val="11"/>
      <color rgb="FF333399"/>
      <name val="Calibri"/>
    </font>
    <font>
      <sz val="11"/>
      <color theme="1"/>
      <name val="Franklin Gothic"/>
    </font>
    <font>
      <sz val="11"/>
      <color theme="1"/>
      <name val="Arial"/>
    </font>
    <font>
      <b/>
      <sz val="20"/>
      <color theme="0"/>
      <name val="Calibri"/>
    </font>
    <font>
      <b/>
      <sz val="11"/>
      <color rgb="FFFFFFFF"/>
      <name val="Arial Narrow"/>
    </font>
    <font>
      <sz val="11"/>
      <color rgb="FF20124D"/>
      <name val="Calibri"/>
      <scheme val="minor"/>
    </font>
    <font>
      <b/>
      <sz val="20"/>
      <color rgb="FF4365AE"/>
      <name val="Calibri"/>
    </font>
    <font>
      <sz val="18"/>
      <color theme="0"/>
      <name val="Calibri"/>
    </font>
    <font>
      <b/>
      <sz val="16"/>
      <color theme="1"/>
      <name val="Calibri"/>
    </font>
    <font>
      <b/>
      <sz val="12"/>
      <color theme="1"/>
      <name val="Calibri"/>
    </font>
    <font>
      <b/>
      <sz val="18"/>
      <color rgb="FF833C0B"/>
      <name val="Calibri"/>
    </font>
    <font>
      <b/>
      <sz val="10"/>
      <color rgb="FFFFFFFF"/>
      <name val="Arial"/>
    </font>
    <font>
      <b/>
      <sz val="11"/>
      <color rgb="FFFFFFFF"/>
      <name val="Calibri"/>
    </font>
    <font>
      <b/>
      <sz val="12"/>
      <color rgb="FFFFFFFF"/>
      <name val="Calibri"/>
    </font>
    <font>
      <sz val="11"/>
      <color theme="1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FFFF00"/>
        <bgColor rgb="FFFFFF00"/>
      </patternFill>
    </fill>
    <fill>
      <patternFill patternType="solid">
        <fgColor rgb="FFD6DCE4"/>
        <bgColor rgb="FFD6DCE4"/>
      </patternFill>
    </fill>
    <fill>
      <patternFill patternType="solid">
        <fgColor rgb="FFD9E2F3"/>
        <bgColor rgb="FFD9E2F3"/>
      </patternFill>
    </fill>
    <fill>
      <patternFill patternType="solid">
        <fgColor rgb="FF2F5496"/>
        <bgColor rgb="FF2F5496"/>
      </patternFill>
    </fill>
    <fill>
      <patternFill patternType="solid">
        <fgColor theme="1"/>
        <bgColor theme="1"/>
      </patternFill>
    </fill>
    <fill>
      <patternFill patternType="solid">
        <fgColor rgb="FF20124D"/>
        <bgColor rgb="FF20124D"/>
      </patternFill>
    </fill>
    <fill>
      <patternFill patternType="solid">
        <fgColor rgb="FFF2F2F2"/>
        <bgColor rgb="FFF2F2F2"/>
      </patternFill>
    </fill>
    <fill>
      <patternFill patternType="solid">
        <fgColor rgb="FF4365AE"/>
        <bgColor rgb="FF4365AE"/>
      </patternFill>
    </fill>
    <fill>
      <patternFill patternType="solid">
        <fgColor theme="0"/>
        <bgColor theme="0"/>
      </patternFill>
    </fill>
    <fill>
      <patternFill patternType="solid">
        <fgColor theme="5"/>
        <bgColor theme="5"/>
      </patternFill>
    </fill>
    <fill>
      <patternFill patternType="solid">
        <fgColor rgb="FFFBE4D5"/>
        <bgColor rgb="FFFBE4D5"/>
      </patternFill>
    </fill>
    <fill>
      <patternFill patternType="solid">
        <fgColor rgb="FFF7CAAC"/>
        <bgColor rgb="FFF7CAAC"/>
      </patternFill>
    </fill>
    <fill>
      <patternFill patternType="solid">
        <fgColor rgb="FF1E4E79"/>
        <bgColor rgb="FF1E4E79"/>
      </patternFill>
    </fill>
  </fills>
  <borders count="32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/>
      <diagonal/>
    </border>
    <border>
      <left style="thin">
        <color rgb="FF9999FF"/>
      </left>
      <right/>
      <top/>
      <bottom style="thin">
        <color rgb="FF9999FF"/>
      </bottom>
      <diagonal/>
    </border>
    <border>
      <left/>
      <right/>
      <top/>
      <bottom style="thin">
        <color rgb="FF9999FF"/>
      </bottom>
      <diagonal/>
    </border>
    <border>
      <left/>
      <right/>
      <top/>
      <bottom style="thin">
        <color rgb="FF9999FF"/>
      </bottom>
      <diagonal/>
    </border>
    <border>
      <left style="thin">
        <color rgb="FF9999FF"/>
      </left>
      <right/>
      <top style="thin">
        <color rgb="FF9999FF"/>
      </top>
      <bottom style="thin">
        <color rgb="FF9999FF"/>
      </bottom>
      <diagonal/>
    </border>
    <border>
      <left/>
      <right style="thin">
        <color rgb="FF9999FF"/>
      </right>
      <top style="thin">
        <color rgb="FF9999FF"/>
      </top>
      <bottom style="thin">
        <color rgb="FF9999FF"/>
      </bottom>
      <diagonal/>
    </border>
  </borders>
  <cellStyleXfs count="1">
    <xf numFmtId="0" fontId="0" fillId="0" borderId="0"/>
  </cellStyleXfs>
  <cellXfs count="90">
    <xf numFmtId="0" fontId="0" fillId="0" borderId="0" xfId="0" applyFont="1" applyAlignment="1"/>
    <xf numFmtId="0" fontId="4" fillId="2" borderId="9" xfId="0" applyFont="1" applyFill="1" applyBorder="1"/>
    <xf numFmtId="0" fontId="5" fillId="2" borderId="9" xfId="0" applyFont="1" applyFill="1" applyBorder="1"/>
    <xf numFmtId="0" fontId="6" fillId="2" borderId="9" xfId="0" applyFont="1" applyFill="1" applyBorder="1"/>
    <xf numFmtId="0" fontId="6" fillId="2" borderId="9" xfId="0" applyFont="1" applyFill="1" applyBorder="1" applyAlignment="1">
      <alignment horizontal="left"/>
    </xf>
    <xf numFmtId="0" fontId="7" fillId="0" borderId="0" xfId="0" applyFont="1"/>
    <xf numFmtId="0" fontId="8" fillId="0" borderId="0" xfId="0" applyFont="1" applyAlignment="1">
      <alignment horizontal="center"/>
    </xf>
    <xf numFmtId="0" fontId="9" fillId="0" borderId="0" xfId="0" applyFont="1"/>
    <xf numFmtId="0" fontId="7" fillId="0" borderId="0" xfId="0" applyFont="1" applyAlignment="1">
      <alignment horizontal="center"/>
    </xf>
    <xf numFmtId="0" fontId="10" fillId="0" borderId="0" xfId="0" applyFont="1"/>
    <xf numFmtId="0" fontId="6" fillId="3" borderId="10" xfId="0" applyFont="1" applyFill="1" applyBorder="1"/>
    <xf numFmtId="0" fontId="9" fillId="4" borderId="11" xfId="0" applyFont="1" applyFill="1" applyBorder="1"/>
    <xf numFmtId="0" fontId="6" fillId="0" borderId="11" xfId="0" applyFont="1" applyBorder="1"/>
    <xf numFmtId="0" fontId="9" fillId="5" borderId="12" xfId="0" applyFont="1" applyFill="1" applyBorder="1" applyAlignment="1">
      <alignment horizontal="center" vertical="center" wrapText="1"/>
    </xf>
    <xf numFmtId="0" fontId="9" fillId="5" borderId="13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 wrapText="1"/>
    </xf>
    <xf numFmtId="0" fontId="11" fillId="5" borderId="13" xfId="0" applyFont="1" applyFill="1" applyBorder="1" applyAlignment="1">
      <alignment horizontal="center" vertical="center" wrapText="1"/>
    </xf>
    <xf numFmtId="0" fontId="9" fillId="5" borderId="14" xfId="0" applyFont="1" applyFill="1" applyBorder="1" applyAlignment="1">
      <alignment horizontal="center" vertical="center" wrapText="1"/>
    </xf>
    <xf numFmtId="0" fontId="9" fillId="0" borderId="15" xfId="0" applyFont="1" applyBorder="1" applyAlignment="1">
      <alignment vertical="center"/>
    </xf>
    <xf numFmtId="4" fontId="6" fillId="0" borderId="11" xfId="0" applyNumberFormat="1" applyFont="1" applyBorder="1" applyAlignment="1">
      <alignment horizontal="right" vertical="center"/>
    </xf>
    <xf numFmtId="4" fontId="11" fillId="0" borderId="11" xfId="0" applyNumberFormat="1" applyFont="1" applyBorder="1" applyAlignment="1">
      <alignment horizontal="right" vertical="center"/>
    </xf>
    <xf numFmtId="164" fontId="6" fillId="0" borderId="11" xfId="0" applyNumberFormat="1" applyFont="1" applyBorder="1" applyAlignment="1">
      <alignment horizontal="right" vertical="center"/>
    </xf>
    <xf numFmtId="164" fontId="9" fillId="0" borderId="16" xfId="0" applyNumberFormat="1" applyFont="1" applyBorder="1" applyAlignment="1">
      <alignment horizontal="right" vertical="center"/>
    </xf>
    <xf numFmtId="0" fontId="9" fillId="0" borderId="17" xfId="0" applyFont="1" applyBorder="1" applyAlignment="1">
      <alignment vertical="center"/>
    </xf>
    <xf numFmtId="4" fontId="6" fillId="0" borderId="18" xfId="0" applyNumberFormat="1" applyFont="1" applyBorder="1" applyAlignment="1">
      <alignment horizontal="right" vertical="center"/>
    </xf>
    <xf numFmtId="4" fontId="11" fillId="0" borderId="18" xfId="0" applyNumberFormat="1" applyFont="1" applyBorder="1" applyAlignment="1">
      <alignment horizontal="right" vertical="center"/>
    </xf>
    <xf numFmtId="164" fontId="6" fillId="0" borderId="18" xfId="0" applyNumberFormat="1" applyFont="1" applyBorder="1" applyAlignment="1">
      <alignment horizontal="right" vertical="center"/>
    </xf>
    <xf numFmtId="164" fontId="9" fillId="0" borderId="19" xfId="0" applyNumberFormat="1" applyFont="1" applyBorder="1" applyAlignment="1">
      <alignment horizontal="right" vertical="center"/>
    </xf>
    <xf numFmtId="0" fontId="9" fillId="0" borderId="0" xfId="0" applyFont="1" applyAlignment="1">
      <alignment vertical="center"/>
    </xf>
    <xf numFmtId="0" fontId="6" fillId="0" borderId="0" xfId="0" applyFont="1" applyAlignment="1">
      <alignment horizontal="left" wrapText="1"/>
    </xf>
    <xf numFmtId="0" fontId="13" fillId="0" borderId="0" xfId="0" applyFont="1"/>
    <xf numFmtId="0" fontId="5" fillId="6" borderId="11" xfId="0" applyFont="1" applyFill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7" borderId="11" xfId="0" applyFont="1" applyFill="1" applyBorder="1"/>
    <xf numFmtId="0" fontId="15" fillId="8" borderId="11" xfId="0" applyFont="1" applyFill="1" applyBorder="1" applyAlignment="1">
      <alignment horizontal="center"/>
    </xf>
    <xf numFmtId="0" fontId="16" fillId="0" borderId="0" xfId="0" applyFont="1"/>
    <xf numFmtId="2" fontId="6" fillId="0" borderId="11" xfId="0" applyNumberFormat="1" applyFont="1" applyBorder="1" applyAlignment="1">
      <alignment horizontal="center"/>
    </xf>
    <xf numFmtId="165" fontId="6" fillId="0" borderId="11" xfId="0" applyNumberFormat="1" applyFont="1" applyBorder="1" applyAlignment="1">
      <alignment horizontal="center"/>
    </xf>
    <xf numFmtId="0" fontId="17" fillId="9" borderId="9" xfId="0" applyFont="1" applyFill="1" applyBorder="1" applyAlignment="1">
      <alignment horizontal="left" vertical="center"/>
    </xf>
    <xf numFmtId="0" fontId="6" fillId="9" borderId="9" xfId="0" applyFont="1" applyFill="1" applyBorder="1"/>
    <xf numFmtId="0" fontId="6" fillId="10" borderId="9" xfId="0" applyFont="1" applyFill="1" applyBorder="1"/>
    <xf numFmtId="0" fontId="18" fillId="10" borderId="9" xfId="0" applyFont="1" applyFill="1" applyBorder="1" applyAlignment="1">
      <alignment horizontal="center"/>
    </xf>
    <xf numFmtId="0" fontId="6" fillId="11" borderId="9" xfId="0" applyFont="1" applyFill="1" applyBorder="1"/>
    <xf numFmtId="0" fontId="19" fillId="9" borderId="9" xfId="0" applyFont="1" applyFill="1" applyBorder="1" applyAlignment="1">
      <alignment vertical="center"/>
    </xf>
    <xf numFmtId="0" fontId="20" fillId="9" borderId="9" xfId="0" applyFont="1" applyFill="1" applyBorder="1" applyAlignment="1">
      <alignment vertical="center"/>
    </xf>
    <xf numFmtId="0" fontId="5" fillId="12" borderId="23" xfId="0" applyFont="1" applyFill="1" applyBorder="1" applyAlignment="1">
      <alignment horizontal="center" vertical="top" wrapText="1"/>
    </xf>
    <xf numFmtId="0" fontId="6" fillId="13" borderId="24" xfId="0" applyFont="1" applyFill="1" applyBorder="1" applyAlignment="1">
      <alignment horizontal="center"/>
    </xf>
    <xf numFmtId="0" fontId="6" fillId="14" borderId="24" xfId="0" applyFont="1" applyFill="1" applyBorder="1" applyAlignment="1">
      <alignment horizontal="center"/>
    </xf>
    <xf numFmtId="0" fontId="21" fillId="11" borderId="9" xfId="0" applyFont="1" applyFill="1" applyBorder="1"/>
    <xf numFmtId="16" fontId="22" fillId="11" borderId="9" xfId="0" applyNumberFormat="1" applyFont="1" applyFill="1" applyBorder="1" applyAlignment="1">
      <alignment horizontal="left" vertical="center"/>
    </xf>
    <xf numFmtId="0" fontId="22" fillId="11" borderId="9" xfId="0" applyFont="1" applyFill="1" applyBorder="1" applyAlignment="1">
      <alignment horizontal="center" vertical="center"/>
    </xf>
    <xf numFmtId="0" fontId="22" fillId="11" borderId="9" xfId="0" applyFont="1" applyFill="1" applyBorder="1" applyAlignment="1">
      <alignment horizontal="center" vertical="center" wrapText="1"/>
    </xf>
    <xf numFmtId="4" fontId="22" fillId="11" borderId="9" xfId="0" applyNumberFormat="1" applyFont="1" applyFill="1" applyBorder="1" applyAlignment="1">
      <alignment horizontal="center" vertical="center"/>
    </xf>
    <xf numFmtId="0" fontId="5" fillId="12" borderId="23" xfId="0" applyFont="1" applyFill="1" applyBorder="1" applyAlignment="1">
      <alignment horizontal="left" vertical="top" wrapText="1"/>
    </xf>
    <xf numFmtId="0" fontId="6" fillId="14" borderId="24" xfId="0" applyFont="1" applyFill="1" applyBorder="1"/>
    <xf numFmtId="0" fontId="6" fillId="14" borderId="24" xfId="0" applyFont="1" applyFill="1" applyBorder="1" applyAlignment="1">
      <alignment horizontal="left"/>
    </xf>
    <xf numFmtId="166" fontId="6" fillId="14" borderId="24" xfId="0" applyNumberFormat="1" applyFont="1" applyFill="1" applyBorder="1" applyAlignment="1">
      <alignment horizontal="left"/>
    </xf>
    <xf numFmtId="0" fontId="6" fillId="13" borderId="24" xfId="0" applyFont="1" applyFill="1" applyBorder="1"/>
    <xf numFmtId="0" fontId="6" fillId="13" borderId="24" xfId="0" applyFont="1" applyFill="1" applyBorder="1" applyAlignment="1">
      <alignment horizontal="left"/>
    </xf>
    <xf numFmtId="166" fontId="6" fillId="13" borderId="24" xfId="0" applyNumberFormat="1" applyFont="1" applyFill="1" applyBorder="1" applyAlignment="1">
      <alignment horizontal="left"/>
    </xf>
    <xf numFmtId="0" fontId="6" fillId="13" borderId="25" xfId="0" applyFont="1" applyFill="1" applyBorder="1" applyAlignment="1">
      <alignment horizontal="center"/>
    </xf>
    <xf numFmtId="0" fontId="6" fillId="13" borderId="25" xfId="0" applyFont="1" applyFill="1" applyBorder="1"/>
    <xf numFmtId="0" fontId="6" fillId="13" borderId="25" xfId="0" applyFont="1" applyFill="1" applyBorder="1" applyAlignment="1">
      <alignment horizontal="left"/>
    </xf>
    <xf numFmtId="0" fontId="23" fillId="15" borderId="26" xfId="0" applyFont="1" applyFill="1" applyBorder="1" applyAlignment="1">
      <alignment horizontal="center" vertical="center"/>
    </xf>
    <xf numFmtId="167" fontId="23" fillId="15" borderId="26" xfId="0" applyNumberFormat="1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168" fontId="6" fillId="0" borderId="1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3" fillId="0" borderId="4" xfId="0" applyFont="1" applyBorder="1" applyAlignment="1">
      <alignment horizontal="left"/>
    </xf>
    <xf numFmtId="0" fontId="0" fillId="0" borderId="0" xfId="0" applyFont="1" applyAlignment="1"/>
    <xf numFmtId="0" fontId="2" fillId="0" borderId="5" xfId="0" applyFont="1" applyBorder="1"/>
    <xf numFmtId="0" fontId="3" fillId="0" borderId="6" xfId="0" applyFont="1" applyBorder="1" applyAlignment="1">
      <alignment horizontal="left"/>
    </xf>
    <xf numFmtId="0" fontId="2" fillId="0" borderId="7" xfId="0" applyFont="1" applyBorder="1"/>
    <xf numFmtId="0" fontId="2" fillId="0" borderId="8" xfId="0" applyFont="1" applyBorder="1"/>
    <xf numFmtId="0" fontId="12" fillId="0" borderId="0" xfId="0" applyFont="1" applyAlignment="1">
      <alignment horizontal="center"/>
    </xf>
    <xf numFmtId="0" fontId="14" fillId="6" borderId="20" xfId="0" applyFont="1" applyFill="1" applyBorder="1" applyAlignment="1">
      <alignment horizontal="center"/>
    </xf>
    <xf numFmtId="0" fontId="2" fillId="0" borderId="21" xfId="0" applyFont="1" applyBorder="1"/>
    <xf numFmtId="0" fontId="2" fillId="0" borderId="22" xfId="0" applyFont="1" applyBorder="1"/>
    <xf numFmtId="0" fontId="3" fillId="0" borderId="6" xfId="0" applyFont="1" applyBorder="1" applyAlignment="1">
      <alignment horizontal="center"/>
    </xf>
    <xf numFmtId="0" fontId="24" fillId="15" borderId="30" xfId="0" applyFont="1" applyFill="1" applyBorder="1" applyAlignment="1">
      <alignment horizontal="center" vertical="center"/>
    </xf>
    <xf numFmtId="0" fontId="2" fillId="0" borderId="31" xfId="0" applyFont="1" applyBorder="1"/>
    <xf numFmtId="0" fontId="24" fillId="15" borderId="27" xfId="0" applyFont="1" applyFill="1" applyBorder="1" applyAlignment="1">
      <alignment horizontal="center" vertical="center"/>
    </xf>
    <xf numFmtId="0" fontId="2" fillId="0" borderId="28" xfId="0" applyFont="1" applyBorder="1"/>
    <xf numFmtId="0" fontId="2" fillId="0" borderId="29" xfId="0" applyFont="1" applyBorder="1"/>
    <xf numFmtId="0" fontId="3" fillId="0" borderId="4" xfId="0" applyFont="1" applyBorder="1" applyAlignment="1">
      <alignment horizontal="left" wrapText="1"/>
    </xf>
    <xf numFmtId="0" fontId="2" fillId="0" borderId="4" xfId="0" applyFont="1" applyBorder="1"/>
    <xf numFmtId="0" fontId="6" fillId="0" borderId="4" xfId="0" applyFont="1" applyBorder="1" applyAlignment="1">
      <alignment horizontal="left"/>
    </xf>
    <xf numFmtId="0" fontId="25" fillId="0" borderId="1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0</xdr:row>
          <xdr:rowOff>85725</xdr:rowOff>
        </xdr:from>
        <xdr:to>
          <xdr:col>18</xdr:col>
          <xdr:colOff>190500</xdr:colOff>
          <xdr:row>2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 Avanzado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000"/>
  <sheetViews>
    <sheetView workbookViewId="0">
      <selection activeCell="H7" sqref="H7"/>
    </sheetView>
  </sheetViews>
  <sheetFormatPr baseColWidth="10" defaultColWidth="14.42578125" defaultRowHeight="15" customHeight="1"/>
  <cols>
    <col min="1" max="1" width="3.7109375" customWidth="1"/>
    <col min="2" max="5" width="10.7109375" customWidth="1"/>
    <col min="6" max="6" width="3.7109375" customWidth="1"/>
    <col min="7" max="24" width="10.7109375" customWidth="1"/>
  </cols>
  <sheetData>
    <row r="2" spans="2:5" ht="25.5">
      <c r="B2" s="67" t="s">
        <v>0</v>
      </c>
      <c r="C2" s="68"/>
      <c r="D2" s="68"/>
      <c r="E2" s="69"/>
    </row>
    <row r="3" spans="2:5" ht="15.75">
      <c r="B3" s="70" t="s">
        <v>1</v>
      </c>
      <c r="C3" s="71"/>
      <c r="D3" s="71"/>
      <c r="E3" s="72"/>
    </row>
    <row r="4" spans="2:5" ht="15.75">
      <c r="B4" s="70" t="s">
        <v>2</v>
      </c>
      <c r="C4" s="71"/>
      <c r="D4" s="71"/>
      <c r="E4" s="72"/>
    </row>
    <row r="5" spans="2:5" ht="15.75">
      <c r="B5" s="70" t="s">
        <v>3</v>
      </c>
      <c r="C5" s="71"/>
      <c r="D5" s="71"/>
      <c r="E5" s="72"/>
    </row>
    <row r="6" spans="2:5" ht="15.75">
      <c r="B6" s="70" t="s">
        <v>4</v>
      </c>
      <c r="C6" s="71"/>
      <c r="D6" s="71"/>
      <c r="E6" s="72"/>
    </row>
    <row r="7" spans="2:5" ht="15.75">
      <c r="B7" s="73" t="s">
        <v>5</v>
      </c>
      <c r="C7" s="74"/>
      <c r="D7" s="74"/>
      <c r="E7" s="75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B7:E7"/>
    <mergeCell ref="B2:E2"/>
    <mergeCell ref="B3:E3"/>
    <mergeCell ref="B4:E4"/>
    <mergeCell ref="B5:E5"/>
    <mergeCell ref="B6:E6"/>
  </mergeCells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1000"/>
  <sheetViews>
    <sheetView showGridLines="0" workbookViewId="0">
      <selection activeCell="E1" sqref="E1"/>
    </sheetView>
  </sheetViews>
  <sheetFormatPr baseColWidth="10" defaultColWidth="14.42578125" defaultRowHeight="15" customHeight="1"/>
  <cols>
    <col min="1" max="1" width="10.7109375" customWidth="1"/>
    <col min="2" max="2" width="14.28515625" customWidth="1"/>
    <col min="3" max="26" width="10.7109375" customWidth="1"/>
  </cols>
  <sheetData>
    <row r="1" spans="1:13" ht="23.25">
      <c r="A1" s="1" t="s">
        <v>6</v>
      </c>
      <c r="B1" s="2"/>
      <c r="C1" s="3"/>
      <c r="D1" s="3"/>
      <c r="E1" s="3"/>
      <c r="F1" s="3"/>
      <c r="G1" s="4"/>
      <c r="H1" s="3"/>
      <c r="I1" s="3"/>
      <c r="J1" s="3"/>
      <c r="K1" s="3"/>
      <c r="L1" s="3"/>
      <c r="M1" s="3"/>
    </row>
    <row r="2" spans="1:13">
      <c r="A2" s="5"/>
    </row>
    <row r="3" spans="1:13">
      <c r="A3" s="6">
        <v>1</v>
      </c>
      <c r="B3" s="7" t="s">
        <v>7</v>
      </c>
    </row>
    <row r="4" spans="1:13">
      <c r="A4" s="8"/>
    </row>
    <row r="5" spans="1:13">
      <c r="A5" s="8"/>
      <c r="C5" s="9" t="s">
        <v>8</v>
      </c>
      <c r="E5" s="10"/>
    </row>
    <row r="6" spans="1:13">
      <c r="A6" s="8"/>
    </row>
    <row r="7" spans="1:13">
      <c r="A7" s="6">
        <v>2</v>
      </c>
      <c r="B7" s="7" t="s">
        <v>9</v>
      </c>
    </row>
    <row r="8" spans="1:13">
      <c r="A8" s="8"/>
    </row>
    <row r="9" spans="1:13">
      <c r="A9" s="8"/>
    </row>
    <row r="10" spans="1:13">
      <c r="A10" s="8"/>
    </row>
    <row r="11" spans="1:13">
      <c r="A11" s="8"/>
      <c r="B11" s="11" t="s">
        <v>10</v>
      </c>
    </row>
    <row r="12" spans="1:13">
      <c r="A12" s="8"/>
      <c r="B12" s="12" t="s">
        <v>8</v>
      </c>
      <c r="D12" s="9" t="s">
        <v>11</v>
      </c>
      <c r="E12" s="10"/>
    </row>
    <row r="13" spans="1:13">
      <c r="A13" s="8"/>
      <c r="B13" s="12" t="s">
        <v>12</v>
      </c>
    </row>
    <row r="14" spans="1:13">
      <c r="A14" s="8"/>
      <c r="B14" s="12" t="s">
        <v>13</v>
      </c>
    </row>
    <row r="15" spans="1:13">
      <c r="A15" s="8"/>
      <c r="B15" s="12" t="s">
        <v>14</v>
      </c>
    </row>
    <row r="16" spans="1:13">
      <c r="A16" s="8"/>
      <c r="B16" s="12" t="s">
        <v>15</v>
      </c>
    </row>
    <row r="17" spans="1:12">
      <c r="A17" s="8"/>
      <c r="B17" s="12" t="s">
        <v>16</v>
      </c>
    </row>
    <row r="18" spans="1:12">
      <c r="A18" s="8"/>
    </row>
    <row r="19" spans="1:12">
      <c r="A19" s="6">
        <v>3</v>
      </c>
      <c r="B19" s="7" t="s">
        <v>17</v>
      </c>
    </row>
    <row r="20" spans="1:12">
      <c r="A20" s="8"/>
      <c r="B20" s="7" t="s">
        <v>18</v>
      </c>
    </row>
    <row r="21" spans="1:12" ht="15.75" customHeight="1">
      <c r="A21" s="8"/>
    </row>
    <row r="22" spans="1:12" ht="15.75" customHeight="1">
      <c r="A22" s="8"/>
      <c r="B22" s="13" t="s">
        <v>19</v>
      </c>
      <c r="C22" s="14" t="s">
        <v>20</v>
      </c>
      <c r="D22" s="15" t="s">
        <v>21</v>
      </c>
      <c r="E22" s="16" t="s">
        <v>22</v>
      </c>
      <c r="F22" s="15" t="s">
        <v>23</v>
      </c>
      <c r="G22" s="15" t="s">
        <v>24</v>
      </c>
      <c r="H22" s="15" t="s">
        <v>25</v>
      </c>
      <c r="I22" s="15" t="s">
        <v>26</v>
      </c>
      <c r="J22" s="15" t="s">
        <v>27</v>
      </c>
      <c r="K22" s="16" t="s">
        <v>28</v>
      </c>
      <c r="L22" s="17" t="s">
        <v>29</v>
      </c>
    </row>
    <row r="23" spans="1:12" ht="15.75" customHeight="1">
      <c r="A23" s="8"/>
      <c r="B23" s="18" t="s">
        <v>30</v>
      </c>
      <c r="C23" s="19">
        <v>17500</v>
      </c>
      <c r="D23" s="19">
        <v>2600</v>
      </c>
      <c r="E23" s="20">
        <f t="shared" ref="E23:E34" si="0">SUM(C23:D23)</f>
        <v>20100</v>
      </c>
      <c r="F23" s="19">
        <v>7700</v>
      </c>
      <c r="G23" s="19">
        <v>1608</v>
      </c>
      <c r="H23" s="19">
        <v>402</v>
      </c>
      <c r="I23" s="19">
        <v>2412</v>
      </c>
      <c r="J23" s="21"/>
      <c r="K23" s="20">
        <f t="shared" ref="K23:K34" si="1">SUM(F23:J23)</f>
        <v>12122</v>
      </c>
      <c r="L23" s="22">
        <f t="shared" ref="L23:L34" si="2">E23-K23</f>
        <v>7978</v>
      </c>
    </row>
    <row r="24" spans="1:12" ht="15.75" customHeight="1">
      <c r="A24" s="8"/>
      <c r="B24" s="18" t="s">
        <v>31</v>
      </c>
      <c r="C24" s="19">
        <v>11000</v>
      </c>
      <c r="D24" s="19">
        <v>2800</v>
      </c>
      <c r="E24" s="20">
        <f t="shared" si="0"/>
        <v>13800</v>
      </c>
      <c r="F24" s="19">
        <v>5300</v>
      </c>
      <c r="G24" s="19">
        <v>1104</v>
      </c>
      <c r="H24" s="19">
        <v>276</v>
      </c>
      <c r="I24" s="19">
        <v>1656</v>
      </c>
      <c r="J24" s="21"/>
      <c r="K24" s="20">
        <f t="shared" si="1"/>
        <v>8336</v>
      </c>
      <c r="L24" s="22">
        <f t="shared" si="2"/>
        <v>5464</v>
      </c>
    </row>
    <row r="25" spans="1:12" ht="15.75" customHeight="1">
      <c r="A25" s="8"/>
      <c r="B25" s="18" t="s">
        <v>32</v>
      </c>
      <c r="C25" s="19">
        <v>12500</v>
      </c>
      <c r="D25" s="19">
        <v>2600</v>
      </c>
      <c r="E25" s="20">
        <f t="shared" si="0"/>
        <v>15100</v>
      </c>
      <c r="F25" s="19">
        <v>6700</v>
      </c>
      <c r="G25" s="19">
        <v>1208</v>
      </c>
      <c r="H25" s="19">
        <v>302</v>
      </c>
      <c r="I25" s="19">
        <v>1812</v>
      </c>
      <c r="J25" s="21">
        <v>2832</v>
      </c>
      <c r="K25" s="20">
        <f t="shared" si="1"/>
        <v>12854</v>
      </c>
      <c r="L25" s="22">
        <f t="shared" si="2"/>
        <v>2246</v>
      </c>
    </row>
    <row r="26" spans="1:12" ht="15.75" customHeight="1">
      <c r="A26" s="8"/>
      <c r="B26" s="18" t="s">
        <v>33</v>
      </c>
      <c r="C26" s="19">
        <v>15000</v>
      </c>
      <c r="D26" s="19">
        <v>2800</v>
      </c>
      <c r="E26" s="20">
        <f t="shared" si="0"/>
        <v>17800</v>
      </c>
      <c r="F26" s="19">
        <v>8700</v>
      </c>
      <c r="G26" s="19">
        <v>1424</v>
      </c>
      <c r="H26" s="19">
        <v>356</v>
      </c>
      <c r="I26" s="19">
        <v>2136</v>
      </c>
      <c r="J26" s="21"/>
      <c r="K26" s="20">
        <f t="shared" si="1"/>
        <v>12616</v>
      </c>
      <c r="L26" s="22">
        <f t="shared" si="2"/>
        <v>5184</v>
      </c>
    </row>
    <row r="27" spans="1:12" ht="15.75" customHeight="1">
      <c r="A27" s="8"/>
      <c r="B27" s="18" t="s">
        <v>34</v>
      </c>
      <c r="C27" s="19">
        <v>16000</v>
      </c>
      <c r="D27" s="19">
        <v>2800</v>
      </c>
      <c r="E27" s="20">
        <f t="shared" si="0"/>
        <v>18800</v>
      </c>
      <c r="F27" s="19">
        <v>6800</v>
      </c>
      <c r="G27" s="19">
        <v>1504</v>
      </c>
      <c r="H27" s="19">
        <v>376</v>
      </c>
      <c r="I27" s="19">
        <v>2256</v>
      </c>
      <c r="J27" s="21"/>
      <c r="K27" s="20">
        <f t="shared" si="1"/>
        <v>10936</v>
      </c>
      <c r="L27" s="22">
        <f t="shared" si="2"/>
        <v>7864</v>
      </c>
    </row>
    <row r="28" spans="1:12" ht="15.75" customHeight="1">
      <c r="A28" s="8"/>
      <c r="B28" s="18" t="s">
        <v>35</v>
      </c>
      <c r="C28" s="19">
        <v>15500</v>
      </c>
      <c r="D28" s="19">
        <v>2600</v>
      </c>
      <c r="E28" s="20">
        <f t="shared" si="0"/>
        <v>18100</v>
      </c>
      <c r="F28" s="19">
        <v>6900</v>
      </c>
      <c r="G28" s="19">
        <v>1448</v>
      </c>
      <c r="H28" s="19">
        <v>362</v>
      </c>
      <c r="I28" s="19">
        <v>2172</v>
      </c>
      <c r="J28" s="21"/>
      <c r="K28" s="20">
        <f t="shared" si="1"/>
        <v>10882</v>
      </c>
      <c r="L28" s="22">
        <f t="shared" si="2"/>
        <v>7218</v>
      </c>
    </row>
    <row r="29" spans="1:12" ht="15.75" customHeight="1">
      <c r="A29" s="8"/>
      <c r="B29" s="18" t="s">
        <v>36</v>
      </c>
      <c r="C29" s="19">
        <v>17000</v>
      </c>
      <c r="D29" s="19">
        <v>2600</v>
      </c>
      <c r="E29" s="20">
        <f t="shared" si="0"/>
        <v>19600</v>
      </c>
      <c r="F29" s="19">
        <v>9500</v>
      </c>
      <c r="G29" s="19">
        <v>1568</v>
      </c>
      <c r="H29" s="19">
        <v>392</v>
      </c>
      <c r="I29" s="19">
        <v>2352</v>
      </c>
      <c r="J29" s="21">
        <v>2974</v>
      </c>
      <c r="K29" s="20">
        <f t="shared" si="1"/>
        <v>16786</v>
      </c>
      <c r="L29" s="22">
        <f t="shared" si="2"/>
        <v>2814</v>
      </c>
    </row>
    <row r="30" spans="1:12" ht="15.75" customHeight="1">
      <c r="A30" s="8"/>
      <c r="B30" s="18" t="s">
        <v>37</v>
      </c>
      <c r="C30" s="19">
        <v>15500</v>
      </c>
      <c r="D30" s="19">
        <v>2000</v>
      </c>
      <c r="E30" s="20">
        <f t="shared" si="0"/>
        <v>17500</v>
      </c>
      <c r="F30" s="19">
        <v>8100</v>
      </c>
      <c r="G30" s="19">
        <v>1400</v>
      </c>
      <c r="H30" s="19">
        <v>350</v>
      </c>
      <c r="I30" s="19">
        <v>2100</v>
      </c>
      <c r="J30" s="21"/>
      <c r="K30" s="20">
        <f t="shared" si="1"/>
        <v>11950</v>
      </c>
      <c r="L30" s="22">
        <f t="shared" si="2"/>
        <v>5550</v>
      </c>
    </row>
    <row r="31" spans="1:12" ht="15.75" customHeight="1">
      <c r="A31" s="8"/>
      <c r="B31" s="18" t="s">
        <v>38</v>
      </c>
      <c r="C31" s="19">
        <v>13500</v>
      </c>
      <c r="D31" s="19">
        <v>2200</v>
      </c>
      <c r="E31" s="20">
        <f t="shared" si="0"/>
        <v>15700</v>
      </c>
      <c r="F31" s="19">
        <v>8000</v>
      </c>
      <c r="G31" s="19">
        <v>1256</v>
      </c>
      <c r="H31" s="19">
        <v>314</v>
      </c>
      <c r="I31" s="19">
        <v>1884</v>
      </c>
      <c r="J31" s="21"/>
      <c r="K31" s="20">
        <f t="shared" si="1"/>
        <v>11454</v>
      </c>
      <c r="L31" s="22">
        <f t="shared" si="2"/>
        <v>4246</v>
      </c>
    </row>
    <row r="32" spans="1:12" ht="15.75" customHeight="1">
      <c r="A32" s="8"/>
      <c r="B32" s="18" t="s">
        <v>39</v>
      </c>
      <c r="C32" s="19">
        <v>17000</v>
      </c>
      <c r="D32" s="19">
        <v>2600</v>
      </c>
      <c r="E32" s="20">
        <f t="shared" si="0"/>
        <v>19600</v>
      </c>
      <c r="F32" s="19">
        <v>10800</v>
      </c>
      <c r="G32" s="19">
        <v>1568</v>
      </c>
      <c r="H32" s="19">
        <v>392</v>
      </c>
      <c r="I32" s="19">
        <v>2352</v>
      </c>
      <c r="J32" s="21">
        <v>2628</v>
      </c>
      <c r="K32" s="20">
        <f t="shared" si="1"/>
        <v>17740</v>
      </c>
      <c r="L32" s="22">
        <f t="shared" si="2"/>
        <v>1860</v>
      </c>
    </row>
    <row r="33" spans="1:12" ht="15.75" customHeight="1">
      <c r="A33" s="8"/>
      <c r="B33" s="18" t="s">
        <v>40</v>
      </c>
      <c r="C33" s="19">
        <v>12500</v>
      </c>
      <c r="D33" s="19">
        <v>2000</v>
      </c>
      <c r="E33" s="20">
        <f t="shared" si="0"/>
        <v>14500</v>
      </c>
      <c r="F33" s="19">
        <v>8600</v>
      </c>
      <c r="G33" s="19">
        <v>1160</v>
      </c>
      <c r="H33" s="19">
        <v>290</v>
      </c>
      <c r="I33" s="19">
        <v>1740</v>
      </c>
      <c r="J33" s="21"/>
      <c r="K33" s="20">
        <f t="shared" si="1"/>
        <v>11790</v>
      </c>
      <c r="L33" s="22">
        <f t="shared" si="2"/>
        <v>2710</v>
      </c>
    </row>
    <row r="34" spans="1:12" ht="15.75" customHeight="1">
      <c r="A34" s="8"/>
      <c r="B34" s="23" t="s">
        <v>41</v>
      </c>
      <c r="C34" s="24">
        <v>10500</v>
      </c>
      <c r="D34" s="24">
        <v>2200</v>
      </c>
      <c r="E34" s="25">
        <f t="shared" si="0"/>
        <v>12700</v>
      </c>
      <c r="F34" s="24">
        <v>7000</v>
      </c>
      <c r="G34" s="24">
        <v>1016</v>
      </c>
      <c r="H34" s="24">
        <v>254</v>
      </c>
      <c r="I34" s="24">
        <v>1524</v>
      </c>
      <c r="J34" s="26"/>
      <c r="K34" s="25">
        <f t="shared" si="1"/>
        <v>9794</v>
      </c>
      <c r="L34" s="27">
        <f t="shared" si="2"/>
        <v>2906</v>
      </c>
    </row>
    <row r="35" spans="1:12" ht="15.75" customHeight="1">
      <c r="A35" s="8"/>
    </row>
    <row r="36" spans="1:12" ht="15.75" customHeight="1">
      <c r="A36" s="6">
        <v>4</v>
      </c>
      <c r="B36" s="28" t="s">
        <v>42</v>
      </c>
    </row>
    <row r="37" spans="1:12" ht="15.75" customHeight="1"/>
    <row r="38" spans="1:12" ht="15.75" customHeight="1"/>
    <row r="39" spans="1:12" ht="15.75" customHeight="1"/>
    <row r="40" spans="1:12" ht="15.75" customHeight="1"/>
    <row r="41" spans="1:12" ht="15.75" customHeight="1"/>
    <row r="42" spans="1:12" ht="15.75" customHeight="1"/>
    <row r="43" spans="1:12" ht="15.75" customHeight="1"/>
    <row r="44" spans="1:12" ht="15.75" customHeight="1"/>
    <row r="45" spans="1:12" ht="15.75" customHeight="1"/>
    <row r="46" spans="1:12" ht="15.75" customHeight="1"/>
    <row r="47" spans="1:12" ht="15.75" customHeight="1"/>
    <row r="48" spans="1:12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1:A1000"/>
  <sheetViews>
    <sheetView workbookViewId="0"/>
  </sheetViews>
  <sheetFormatPr baseColWidth="10" defaultColWidth="14.42578125" defaultRowHeight="15" customHeight="1"/>
  <cols>
    <col min="1" max="26" width="10.7109375" customWidth="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baseColWidth="10" defaultColWidth="14.42578125" defaultRowHeight="15" customHeight="1"/>
  <cols>
    <col min="1" max="1" width="10.7109375" customWidth="1"/>
    <col min="2" max="2" width="14.140625" customWidth="1"/>
    <col min="3" max="4" width="13.85546875" customWidth="1"/>
    <col min="5" max="5" width="12.42578125" customWidth="1"/>
    <col min="6" max="7" width="10.7109375" customWidth="1"/>
    <col min="8" max="10" width="12.42578125" customWidth="1"/>
    <col min="11" max="11" width="16.42578125" customWidth="1"/>
    <col min="12" max="12" width="11.5703125" customWidth="1"/>
    <col min="13" max="26" width="10.7109375" customWidth="1"/>
  </cols>
  <sheetData>
    <row r="1" spans="1:26">
      <c r="B1" s="76" t="s">
        <v>43</v>
      </c>
      <c r="C1" s="71"/>
      <c r="D1" s="71"/>
      <c r="H1" s="76" t="s">
        <v>44</v>
      </c>
      <c r="I1" s="71"/>
      <c r="J1" s="71"/>
    </row>
    <row r="2" spans="1:26">
      <c r="E2" s="29"/>
      <c r="F2" s="29"/>
      <c r="G2" s="29"/>
    </row>
    <row r="3" spans="1:26" ht="26.25">
      <c r="B3" s="30" t="s">
        <v>45</v>
      </c>
      <c r="C3" s="30"/>
      <c r="D3" s="30"/>
      <c r="H3" s="77" t="s">
        <v>45</v>
      </c>
      <c r="I3" s="78"/>
      <c r="J3" s="79"/>
    </row>
    <row r="4" spans="1:26">
      <c r="B4" s="30" t="s">
        <v>46</v>
      </c>
      <c r="C4" s="30" t="s">
        <v>47</v>
      </c>
      <c r="D4" s="30" t="s">
        <v>48</v>
      </c>
      <c r="H4" s="31" t="s">
        <v>46</v>
      </c>
      <c r="I4" s="31" t="s">
        <v>47</v>
      </c>
      <c r="J4" s="31" t="s">
        <v>48</v>
      </c>
    </row>
    <row r="5" spans="1:26">
      <c r="B5" s="30" t="s">
        <v>49</v>
      </c>
      <c r="C5" s="30" t="s">
        <v>49</v>
      </c>
      <c r="D5" s="30" t="s">
        <v>49</v>
      </c>
      <c r="H5" s="32" t="s">
        <v>49</v>
      </c>
      <c r="I5" s="32" t="s">
        <v>49</v>
      </c>
      <c r="J5" s="32" t="s">
        <v>49</v>
      </c>
    </row>
    <row r="7" spans="1:26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</row>
    <row r="9" spans="1:26">
      <c r="B9" s="30" t="s">
        <v>50</v>
      </c>
      <c r="C9" s="30"/>
      <c r="D9" s="30"/>
      <c r="F9" s="30" t="s">
        <v>51</v>
      </c>
      <c r="G9" s="30"/>
      <c r="H9" s="30"/>
      <c r="I9" s="30"/>
      <c r="J9" s="30" t="s">
        <v>52</v>
      </c>
      <c r="K9" s="30"/>
      <c r="L9" s="30"/>
      <c r="M9" s="30"/>
    </row>
    <row r="10" spans="1:26">
      <c r="B10" s="30" t="s">
        <v>53</v>
      </c>
      <c r="C10" s="30" t="s">
        <v>54</v>
      </c>
      <c r="D10" s="30" t="s">
        <v>55</v>
      </c>
      <c r="F10" s="30" t="s">
        <v>53</v>
      </c>
      <c r="G10" s="30" t="s">
        <v>54</v>
      </c>
      <c r="H10" s="30" t="s">
        <v>56</v>
      </c>
      <c r="I10" s="30"/>
      <c r="J10" s="30" t="s">
        <v>53</v>
      </c>
      <c r="K10" s="30" t="s">
        <v>57</v>
      </c>
      <c r="L10" s="30" t="s">
        <v>58</v>
      </c>
      <c r="M10" s="30" t="s">
        <v>59</v>
      </c>
    </row>
    <row r="11" spans="1:26">
      <c r="B11" s="30" t="s">
        <v>60</v>
      </c>
      <c r="C11" s="30" t="s">
        <v>61</v>
      </c>
      <c r="D11" s="30">
        <v>15</v>
      </c>
      <c r="F11" s="30" t="s">
        <v>62</v>
      </c>
      <c r="G11" s="30" t="s">
        <v>63</v>
      </c>
      <c r="H11" s="30">
        <v>20</v>
      </c>
      <c r="I11" s="30"/>
      <c r="J11" s="30" t="s">
        <v>64</v>
      </c>
      <c r="K11" s="30" t="s">
        <v>65</v>
      </c>
      <c r="L11" s="30" t="s">
        <v>66</v>
      </c>
      <c r="M11" s="30" t="s">
        <v>67</v>
      </c>
    </row>
    <row r="12" spans="1:26">
      <c r="B12" s="30" t="s">
        <v>68</v>
      </c>
      <c r="C12" s="30" t="s">
        <v>69</v>
      </c>
      <c r="D12" s="30">
        <v>14</v>
      </c>
      <c r="F12" s="30" t="s">
        <v>70</v>
      </c>
      <c r="G12" s="30" t="s">
        <v>71</v>
      </c>
      <c r="H12" s="30">
        <v>15</v>
      </c>
      <c r="I12" s="30"/>
      <c r="J12" s="30" t="s">
        <v>72</v>
      </c>
      <c r="K12" s="30" t="s">
        <v>73</v>
      </c>
      <c r="L12" s="30" t="s">
        <v>66</v>
      </c>
      <c r="M12" s="30" t="s">
        <v>74</v>
      </c>
    </row>
    <row r="13" spans="1:26">
      <c r="B13" s="30" t="s">
        <v>75</v>
      </c>
      <c r="C13" s="30" t="s">
        <v>76</v>
      </c>
      <c r="D13" s="30">
        <v>15</v>
      </c>
      <c r="F13" s="30"/>
      <c r="G13" s="30"/>
      <c r="H13" s="30"/>
      <c r="I13" s="30"/>
      <c r="J13" s="30" t="s">
        <v>77</v>
      </c>
      <c r="K13" s="30" t="s">
        <v>78</v>
      </c>
      <c r="L13" s="30" t="s">
        <v>79</v>
      </c>
      <c r="M13" s="30" t="s">
        <v>80</v>
      </c>
    </row>
    <row r="14" spans="1:26">
      <c r="B14" s="30" t="s">
        <v>81</v>
      </c>
      <c r="C14" s="30" t="s">
        <v>82</v>
      </c>
      <c r="D14" s="30">
        <v>16</v>
      </c>
    </row>
    <row r="17" spans="2:5">
      <c r="B17" s="30"/>
      <c r="C17" s="30"/>
      <c r="D17" s="30"/>
      <c r="E17" s="30"/>
    </row>
    <row r="18" spans="2:5">
      <c r="B18" s="30"/>
      <c r="C18" s="30"/>
      <c r="D18" s="30"/>
      <c r="E18" s="30"/>
    </row>
    <row r="19" spans="2:5">
      <c r="B19" s="30"/>
      <c r="C19" s="30"/>
      <c r="D19" s="30"/>
      <c r="E19" s="30"/>
    </row>
    <row r="20" spans="2:5">
      <c r="B20" s="30"/>
      <c r="C20" s="30"/>
      <c r="D20" s="30"/>
      <c r="E20" s="30"/>
    </row>
    <row r="21" spans="2:5" ht="15.75" customHeight="1">
      <c r="B21" s="30"/>
      <c r="C21" s="30"/>
      <c r="D21" s="30"/>
      <c r="E21" s="30"/>
    </row>
    <row r="22" spans="2:5" ht="15.75" customHeight="1"/>
    <row r="23" spans="2:5" ht="15.75" customHeight="1"/>
    <row r="24" spans="2:5" ht="15.75" customHeight="1"/>
    <row r="25" spans="2:5" ht="15.75" customHeight="1"/>
    <row r="26" spans="2:5" ht="15.75" customHeight="1"/>
    <row r="27" spans="2:5" ht="15.75" customHeight="1"/>
    <row r="28" spans="2:5" ht="15.75" customHeight="1"/>
    <row r="29" spans="2:5" ht="15.75" customHeight="1"/>
    <row r="30" spans="2:5" ht="15.75" customHeight="1"/>
    <row r="31" spans="2:5" ht="15.75" customHeight="1"/>
    <row r="32" spans="2:5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B1:D1"/>
    <mergeCell ref="H1:J1"/>
    <mergeCell ref="H3:J3"/>
  </mergeCells>
  <pageMargins left="0.7" right="0.7" top="0.75" bottom="0.75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Z1000"/>
  <sheetViews>
    <sheetView showGridLines="0" tabSelected="1" zoomScale="75" zoomScaleNormal="75" workbookViewId="0">
      <selection activeCell="Q6" sqref="Q6"/>
    </sheetView>
  </sheetViews>
  <sheetFormatPr baseColWidth="10" defaultColWidth="14.42578125" defaultRowHeight="15" customHeight="1"/>
  <cols>
    <col min="1" max="1" width="17.5703125" customWidth="1"/>
    <col min="2" max="2" width="8.7109375" customWidth="1"/>
    <col min="3" max="3" width="9.28515625" customWidth="1"/>
    <col min="4" max="4" width="10" customWidth="1"/>
    <col min="5" max="5" width="8.85546875" customWidth="1"/>
    <col min="6" max="6" width="9.7109375" customWidth="1"/>
    <col min="7" max="7" width="8.7109375" customWidth="1"/>
    <col min="8" max="8" width="16.42578125" customWidth="1"/>
    <col min="9" max="9" width="15.140625" customWidth="1"/>
    <col min="10" max="10" width="10.140625" customWidth="1"/>
    <col min="11" max="11" width="9.140625" customWidth="1"/>
    <col min="12" max="12" width="10.7109375" customWidth="1"/>
    <col min="13" max="13" width="13.7109375" customWidth="1"/>
    <col min="14" max="14" width="11.7109375" customWidth="1"/>
    <col min="15" max="15" width="12.85546875" customWidth="1"/>
    <col min="16" max="16" width="9.85546875" customWidth="1"/>
    <col min="17" max="26" width="10.7109375" customWidth="1"/>
  </cols>
  <sheetData>
    <row r="1" spans="1:26" ht="16.5">
      <c r="A1" s="34" t="s">
        <v>83</v>
      </c>
      <c r="B1" s="34" t="s">
        <v>84</v>
      </c>
      <c r="C1" s="34" t="s">
        <v>85</v>
      </c>
      <c r="D1" s="34" t="s">
        <v>86</v>
      </c>
      <c r="E1" s="34" t="s">
        <v>87</v>
      </c>
      <c r="F1" s="34" t="s">
        <v>88</v>
      </c>
      <c r="G1" s="34" t="s">
        <v>89</v>
      </c>
      <c r="H1" s="34" t="s">
        <v>90</v>
      </c>
      <c r="I1" s="34" t="s">
        <v>91</v>
      </c>
      <c r="J1" s="34" t="s">
        <v>92</v>
      </c>
      <c r="K1" s="34" t="s">
        <v>93</v>
      </c>
      <c r="L1" s="34" t="s">
        <v>94</v>
      </c>
      <c r="M1" s="34" t="s">
        <v>95</v>
      </c>
      <c r="N1" s="34" t="s">
        <v>96</v>
      </c>
      <c r="O1" s="34" t="s">
        <v>97</v>
      </c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</row>
    <row r="2" spans="1:26">
      <c r="A2" s="89"/>
      <c r="B2" s="12"/>
      <c r="C2" s="89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5" spans="1:26" ht="16.5">
      <c r="A5" s="34" t="s">
        <v>83</v>
      </c>
      <c r="B5" s="34" t="s">
        <v>84</v>
      </c>
      <c r="C5" s="34" t="s">
        <v>85</v>
      </c>
      <c r="D5" s="34" t="s">
        <v>86</v>
      </c>
      <c r="E5" s="34" t="s">
        <v>87</v>
      </c>
      <c r="F5" s="34" t="s">
        <v>88</v>
      </c>
      <c r="G5" s="34" t="s">
        <v>89</v>
      </c>
      <c r="H5" s="34" t="s">
        <v>90</v>
      </c>
      <c r="I5" s="34" t="s">
        <v>91</v>
      </c>
      <c r="J5" s="34" t="s">
        <v>92</v>
      </c>
      <c r="K5" s="34" t="s">
        <v>93</v>
      </c>
      <c r="L5" s="34" t="s">
        <v>94</v>
      </c>
      <c r="M5" s="34" t="s">
        <v>95</v>
      </c>
      <c r="N5" s="34" t="s">
        <v>96</v>
      </c>
      <c r="O5" s="34" t="s">
        <v>97</v>
      </c>
    </row>
    <row r="6" spans="1:26">
      <c r="A6" s="32" t="s">
        <v>98</v>
      </c>
      <c r="B6" s="32" t="s">
        <v>99</v>
      </c>
      <c r="C6" s="32" t="s">
        <v>100</v>
      </c>
      <c r="D6" s="32" t="s">
        <v>101</v>
      </c>
      <c r="E6" s="32">
        <v>40</v>
      </c>
      <c r="F6" s="32">
        <v>32</v>
      </c>
      <c r="G6" s="32">
        <v>8</v>
      </c>
      <c r="H6" s="36">
        <v>12160</v>
      </c>
      <c r="I6" s="36">
        <v>3040</v>
      </c>
      <c r="J6" s="32">
        <v>39</v>
      </c>
      <c r="K6" s="32">
        <v>1</v>
      </c>
      <c r="L6" s="32">
        <v>37</v>
      </c>
      <c r="M6" s="32">
        <v>2</v>
      </c>
      <c r="N6" s="37">
        <v>43523</v>
      </c>
      <c r="O6" s="32" t="s">
        <v>102</v>
      </c>
    </row>
    <row r="7" spans="1:26">
      <c r="A7" s="32" t="s">
        <v>98</v>
      </c>
      <c r="B7" s="32" t="s">
        <v>103</v>
      </c>
      <c r="C7" s="32" t="s">
        <v>100</v>
      </c>
      <c r="D7" s="32" t="s">
        <v>104</v>
      </c>
      <c r="E7" s="32">
        <v>38</v>
      </c>
      <c r="F7" s="32">
        <v>31</v>
      </c>
      <c r="G7" s="32">
        <v>7</v>
      </c>
      <c r="H7" s="36">
        <v>11780</v>
      </c>
      <c r="I7" s="36">
        <v>2660</v>
      </c>
      <c r="J7" s="32">
        <v>33</v>
      </c>
      <c r="K7" s="32">
        <v>5</v>
      </c>
      <c r="L7" s="32">
        <v>32</v>
      </c>
      <c r="M7" s="32">
        <v>1</v>
      </c>
      <c r="N7" s="37">
        <v>44018</v>
      </c>
      <c r="O7" s="32" t="s">
        <v>102</v>
      </c>
    </row>
    <row r="8" spans="1:26">
      <c r="A8" s="32" t="s">
        <v>98</v>
      </c>
      <c r="B8" s="32" t="s">
        <v>105</v>
      </c>
      <c r="C8" s="32" t="s">
        <v>100</v>
      </c>
      <c r="D8" s="32" t="s">
        <v>106</v>
      </c>
      <c r="E8" s="32">
        <v>41</v>
      </c>
      <c r="F8" s="32">
        <v>32</v>
      </c>
      <c r="G8" s="32">
        <v>9</v>
      </c>
      <c r="H8" s="36">
        <v>12160</v>
      </c>
      <c r="I8" s="36">
        <v>3420</v>
      </c>
      <c r="J8" s="32">
        <v>38</v>
      </c>
      <c r="K8" s="32">
        <v>3</v>
      </c>
      <c r="L8" s="32">
        <v>36</v>
      </c>
      <c r="M8" s="32">
        <v>2</v>
      </c>
      <c r="N8" s="37">
        <v>43514</v>
      </c>
      <c r="O8" s="32" t="s">
        <v>102</v>
      </c>
    </row>
    <row r="9" spans="1:26">
      <c r="A9" s="32" t="s">
        <v>98</v>
      </c>
      <c r="B9" s="32" t="s">
        <v>107</v>
      </c>
      <c r="C9" s="32" t="s">
        <v>100</v>
      </c>
      <c r="D9" s="32" t="s">
        <v>106</v>
      </c>
      <c r="E9" s="32">
        <v>38</v>
      </c>
      <c r="F9" s="32">
        <v>29</v>
      </c>
      <c r="G9" s="32">
        <v>9</v>
      </c>
      <c r="H9" s="36">
        <v>11020</v>
      </c>
      <c r="I9" s="36">
        <v>3420</v>
      </c>
      <c r="J9" s="32">
        <v>34</v>
      </c>
      <c r="K9" s="32">
        <v>4</v>
      </c>
      <c r="L9" s="32">
        <v>32</v>
      </c>
      <c r="M9" s="32">
        <v>2</v>
      </c>
      <c r="N9" s="37">
        <v>43516</v>
      </c>
      <c r="O9" s="32" t="s">
        <v>102</v>
      </c>
    </row>
    <row r="10" spans="1:26">
      <c r="A10" s="32" t="s">
        <v>98</v>
      </c>
      <c r="B10" s="32" t="s">
        <v>108</v>
      </c>
      <c r="C10" s="32" t="s">
        <v>100</v>
      </c>
      <c r="D10" s="32" t="s">
        <v>109</v>
      </c>
      <c r="E10" s="32">
        <v>37</v>
      </c>
      <c r="F10" s="32">
        <v>30</v>
      </c>
      <c r="G10" s="32">
        <v>7</v>
      </c>
      <c r="H10" s="36">
        <v>10450</v>
      </c>
      <c r="I10" s="36">
        <v>2660</v>
      </c>
      <c r="J10" s="32">
        <v>36</v>
      </c>
      <c r="K10" s="32">
        <v>1</v>
      </c>
      <c r="L10" s="32">
        <v>31</v>
      </c>
      <c r="M10" s="32">
        <v>5</v>
      </c>
      <c r="N10" s="37">
        <v>43965</v>
      </c>
      <c r="O10" s="32" t="s">
        <v>102</v>
      </c>
    </row>
    <row r="11" spans="1:26">
      <c r="A11" s="32" t="s">
        <v>98</v>
      </c>
      <c r="B11" s="32" t="s">
        <v>110</v>
      </c>
      <c r="C11" s="32" t="s">
        <v>100</v>
      </c>
      <c r="D11" s="32" t="s">
        <v>111</v>
      </c>
      <c r="E11" s="32">
        <v>48</v>
      </c>
      <c r="F11" s="32">
        <v>42</v>
      </c>
      <c r="G11" s="32">
        <v>6</v>
      </c>
      <c r="H11" s="36">
        <v>15960</v>
      </c>
      <c r="I11" s="36">
        <v>2280</v>
      </c>
      <c r="J11" s="32">
        <v>42</v>
      </c>
      <c r="K11" s="32">
        <v>6</v>
      </c>
      <c r="L11" s="32">
        <v>41</v>
      </c>
      <c r="M11" s="32">
        <v>1</v>
      </c>
      <c r="N11" s="37">
        <v>43120</v>
      </c>
      <c r="O11" s="32" t="s">
        <v>102</v>
      </c>
    </row>
    <row r="12" spans="1:26">
      <c r="A12" s="32" t="s">
        <v>98</v>
      </c>
      <c r="B12" s="32" t="s">
        <v>112</v>
      </c>
      <c r="C12" s="32" t="s">
        <v>100</v>
      </c>
      <c r="D12" s="32" t="s">
        <v>113</v>
      </c>
      <c r="E12" s="32">
        <v>37</v>
      </c>
      <c r="F12" s="32">
        <v>32</v>
      </c>
      <c r="G12" s="32">
        <v>5</v>
      </c>
      <c r="H12" s="36">
        <v>11210</v>
      </c>
      <c r="I12" s="36">
        <v>1900</v>
      </c>
      <c r="J12" s="32">
        <v>33</v>
      </c>
      <c r="K12" s="32">
        <v>4</v>
      </c>
      <c r="L12" s="32">
        <v>27</v>
      </c>
      <c r="M12" s="32">
        <v>6</v>
      </c>
      <c r="N12" s="37">
        <v>43521</v>
      </c>
      <c r="O12" s="32" t="s">
        <v>102</v>
      </c>
    </row>
    <row r="13" spans="1:26">
      <c r="A13" s="32" t="s">
        <v>98</v>
      </c>
      <c r="B13" s="32" t="s">
        <v>114</v>
      </c>
      <c r="C13" s="32" t="s">
        <v>115</v>
      </c>
      <c r="D13" s="32" t="s">
        <v>104</v>
      </c>
      <c r="E13" s="32">
        <v>40</v>
      </c>
      <c r="F13" s="32">
        <v>32</v>
      </c>
      <c r="G13" s="32">
        <v>8</v>
      </c>
      <c r="H13" s="36">
        <v>11020</v>
      </c>
      <c r="I13" s="36">
        <v>3040</v>
      </c>
      <c r="J13" s="32">
        <v>39</v>
      </c>
      <c r="K13" s="32">
        <v>1</v>
      </c>
      <c r="L13" s="32">
        <v>34</v>
      </c>
      <c r="M13" s="32">
        <v>5</v>
      </c>
      <c r="N13" s="37">
        <v>43204</v>
      </c>
      <c r="O13" s="32" t="s">
        <v>102</v>
      </c>
    </row>
    <row r="14" spans="1:26">
      <c r="A14" s="32" t="s">
        <v>98</v>
      </c>
      <c r="B14" s="32" t="s">
        <v>116</v>
      </c>
      <c r="C14" s="32" t="s">
        <v>115</v>
      </c>
      <c r="D14" s="32" t="s">
        <v>109</v>
      </c>
      <c r="E14" s="32">
        <v>48</v>
      </c>
      <c r="F14" s="32">
        <v>42</v>
      </c>
      <c r="G14" s="32">
        <v>6</v>
      </c>
      <c r="H14" s="36">
        <v>15960</v>
      </c>
      <c r="I14" s="36">
        <v>2280</v>
      </c>
      <c r="J14" s="32">
        <v>41</v>
      </c>
      <c r="K14" s="32">
        <v>7</v>
      </c>
      <c r="L14" s="32">
        <v>39</v>
      </c>
      <c r="M14" s="32">
        <v>2</v>
      </c>
      <c r="N14" s="37">
        <v>43288</v>
      </c>
      <c r="O14" s="32" t="s">
        <v>102</v>
      </c>
    </row>
    <row r="15" spans="1:26">
      <c r="A15" s="32" t="s">
        <v>98</v>
      </c>
      <c r="B15" s="32" t="s">
        <v>117</v>
      </c>
      <c r="C15" s="32" t="s">
        <v>115</v>
      </c>
      <c r="D15" s="32" t="s">
        <v>111</v>
      </c>
      <c r="E15" s="32">
        <v>43</v>
      </c>
      <c r="F15" s="32">
        <v>36</v>
      </c>
      <c r="G15" s="32">
        <v>7</v>
      </c>
      <c r="H15" s="36">
        <v>12540</v>
      </c>
      <c r="I15" s="36">
        <v>2660</v>
      </c>
      <c r="J15" s="32">
        <v>41</v>
      </c>
      <c r="K15" s="32">
        <v>2</v>
      </c>
      <c r="L15" s="32">
        <v>40</v>
      </c>
      <c r="M15" s="32">
        <v>1</v>
      </c>
      <c r="N15" s="37">
        <v>43761</v>
      </c>
      <c r="O15" s="32" t="s">
        <v>102</v>
      </c>
    </row>
    <row r="16" spans="1:26">
      <c r="A16" s="32" t="s">
        <v>98</v>
      </c>
      <c r="B16" s="32" t="s">
        <v>118</v>
      </c>
      <c r="C16" s="32" t="s">
        <v>115</v>
      </c>
      <c r="D16" s="32" t="s">
        <v>111</v>
      </c>
      <c r="E16" s="32">
        <v>37</v>
      </c>
      <c r="F16" s="32">
        <v>30</v>
      </c>
      <c r="G16" s="32">
        <v>7</v>
      </c>
      <c r="H16" s="36">
        <v>11400</v>
      </c>
      <c r="I16" s="36">
        <v>2660</v>
      </c>
      <c r="J16" s="32">
        <v>34</v>
      </c>
      <c r="K16" s="32">
        <v>3</v>
      </c>
      <c r="L16" s="32">
        <v>29</v>
      </c>
      <c r="M16" s="32">
        <v>5</v>
      </c>
      <c r="N16" s="37">
        <v>43911</v>
      </c>
      <c r="O16" s="32" t="s">
        <v>102</v>
      </c>
    </row>
    <row r="17" spans="1:15">
      <c r="A17" s="32" t="s">
        <v>98</v>
      </c>
      <c r="B17" s="32" t="s">
        <v>119</v>
      </c>
      <c r="C17" s="32" t="s">
        <v>115</v>
      </c>
      <c r="D17" s="32" t="s">
        <v>113</v>
      </c>
      <c r="E17" s="32">
        <v>45</v>
      </c>
      <c r="F17" s="32">
        <v>38</v>
      </c>
      <c r="G17" s="32">
        <v>7</v>
      </c>
      <c r="H17" s="36">
        <v>13300</v>
      </c>
      <c r="I17" s="36">
        <v>2660</v>
      </c>
      <c r="J17" s="32">
        <v>41</v>
      </c>
      <c r="K17" s="32">
        <v>4</v>
      </c>
      <c r="L17" s="32">
        <v>36</v>
      </c>
      <c r="M17" s="32">
        <v>5</v>
      </c>
      <c r="N17" s="37">
        <v>43797</v>
      </c>
      <c r="O17" s="32" t="s">
        <v>102</v>
      </c>
    </row>
    <row r="18" spans="1:15">
      <c r="A18" s="32" t="s">
        <v>98</v>
      </c>
      <c r="B18" s="32" t="s">
        <v>120</v>
      </c>
      <c r="C18" s="32" t="s">
        <v>121</v>
      </c>
      <c r="D18" s="32" t="s">
        <v>101</v>
      </c>
      <c r="E18" s="32">
        <v>35</v>
      </c>
      <c r="F18" s="32">
        <v>26</v>
      </c>
      <c r="G18" s="32">
        <v>9</v>
      </c>
      <c r="H18" s="36">
        <v>9120</v>
      </c>
      <c r="I18" s="36">
        <v>3420</v>
      </c>
      <c r="J18" s="32">
        <v>32</v>
      </c>
      <c r="K18" s="32">
        <v>3</v>
      </c>
      <c r="L18" s="32">
        <v>29</v>
      </c>
      <c r="M18" s="32">
        <v>3</v>
      </c>
      <c r="N18" s="37">
        <v>43182</v>
      </c>
      <c r="O18" s="32" t="s">
        <v>122</v>
      </c>
    </row>
    <row r="19" spans="1:15">
      <c r="A19" s="32" t="s">
        <v>98</v>
      </c>
      <c r="B19" s="32" t="s">
        <v>123</v>
      </c>
      <c r="C19" s="32" t="s">
        <v>121</v>
      </c>
      <c r="D19" s="32" t="s">
        <v>101</v>
      </c>
      <c r="E19" s="32">
        <v>36</v>
      </c>
      <c r="F19" s="32">
        <v>31</v>
      </c>
      <c r="G19" s="32">
        <v>5</v>
      </c>
      <c r="H19" s="36">
        <v>11780</v>
      </c>
      <c r="I19" s="36">
        <v>1900</v>
      </c>
      <c r="J19" s="32">
        <v>32</v>
      </c>
      <c r="K19" s="32">
        <v>4</v>
      </c>
      <c r="L19" s="32">
        <v>26</v>
      </c>
      <c r="M19" s="32">
        <v>6</v>
      </c>
      <c r="N19" s="37">
        <v>43486</v>
      </c>
      <c r="O19" s="32" t="s">
        <v>122</v>
      </c>
    </row>
    <row r="20" spans="1:15">
      <c r="A20" s="32" t="s">
        <v>98</v>
      </c>
      <c r="B20" s="32" t="s">
        <v>124</v>
      </c>
      <c r="C20" s="32" t="s">
        <v>121</v>
      </c>
      <c r="D20" s="32" t="s">
        <v>104</v>
      </c>
      <c r="E20" s="32">
        <v>48</v>
      </c>
      <c r="F20" s="32">
        <v>40</v>
      </c>
      <c r="G20" s="32">
        <v>8</v>
      </c>
      <c r="H20" s="36">
        <v>15200</v>
      </c>
      <c r="I20" s="36">
        <v>3040</v>
      </c>
      <c r="J20" s="32">
        <v>42</v>
      </c>
      <c r="K20" s="32">
        <v>6</v>
      </c>
      <c r="L20" s="32">
        <v>34</v>
      </c>
      <c r="M20" s="32">
        <v>8</v>
      </c>
      <c r="N20" s="37">
        <v>43255</v>
      </c>
      <c r="O20" s="32" t="s">
        <v>122</v>
      </c>
    </row>
    <row r="21" spans="1:15" ht="15.75" customHeight="1">
      <c r="A21" s="32" t="s">
        <v>98</v>
      </c>
      <c r="B21" s="32" t="s">
        <v>125</v>
      </c>
      <c r="C21" s="32" t="s">
        <v>121</v>
      </c>
      <c r="D21" s="32" t="s">
        <v>104</v>
      </c>
      <c r="E21" s="32">
        <v>44</v>
      </c>
      <c r="F21" s="32">
        <v>36</v>
      </c>
      <c r="G21" s="32">
        <v>8</v>
      </c>
      <c r="H21" s="36">
        <v>13680</v>
      </c>
      <c r="I21" s="36">
        <v>3040</v>
      </c>
      <c r="J21" s="32">
        <v>40</v>
      </c>
      <c r="K21" s="32">
        <v>4</v>
      </c>
      <c r="L21" s="32">
        <v>33</v>
      </c>
      <c r="M21" s="32">
        <v>7</v>
      </c>
      <c r="N21" s="37">
        <v>43137</v>
      </c>
      <c r="O21" s="32" t="s">
        <v>122</v>
      </c>
    </row>
    <row r="22" spans="1:15" ht="15.75" customHeight="1">
      <c r="A22" s="32" t="s">
        <v>98</v>
      </c>
      <c r="B22" s="32" t="s">
        <v>126</v>
      </c>
      <c r="C22" s="32" t="s">
        <v>121</v>
      </c>
      <c r="D22" s="32" t="s">
        <v>104</v>
      </c>
      <c r="E22" s="32">
        <v>47</v>
      </c>
      <c r="F22" s="32">
        <v>36</v>
      </c>
      <c r="G22" s="32">
        <v>11</v>
      </c>
      <c r="H22" s="36">
        <v>12540</v>
      </c>
      <c r="I22" s="36">
        <v>4180</v>
      </c>
      <c r="J22" s="32">
        <v>41</v>
      </c>
      <c r="K22" s="32">
        <v>6</v>
      </c>
      <c r="L22" s="32">
        <v>34</v>
      </c>
      <c r="M22" s="32">
        <v>7</v>
      </c>
      <c r="N22" s="37">
        <v>43722</v>
      </c>
      <c r="O22" s="32" t="s">
        <v>122</v>
      </c>
    </row>
    <row r="23" spans="1:15" ht="15.75" customHeight="1">
      <c r="A23" s="32" t="s">
        <v>98</v>
      </c>
      <c r="B23" s="32" t="s">
        <v>127</v>
      </c>
      <c r="C23" s="32" t="s">
        <v>121</v>
      </c>
      <c r="D23" s="32" t="s">
        <v>104</v>
      </c>
      <c r="E23" s="32">
        <v>46</v>
      </c>
      <c r="F23" s="32">
        <v>38</v>
      </c>
      <c r="G23" s="32">
        <v>8</v>
      </c>
      <c r="H23" s="36">
        <v>13300</v>
      </c>
      <c r="I23" s="36">
        <v>3040</v>
      </c>
      <c r="J23" s="32">
        <v>40</v>
      </c>
      <c r="K23" s="32">
        <v>6</v>
      </c>
      <c r="L23" s="32">
        <v>39</v>
      </c>
      <c r="M23" s="32">
        <v>1</v>
      </c>
      <c r="N23" s="37">
        <v>43608</v>
      </c>
      <c r="O23" s="32" t="s">
        <v>122</v>
      </c>
    </row>
    <row r="24" spans="1:15" ht="15.75" customHeight="1">
      <c r="A24" s="32" t="s">
        <v>98</v>
      </c>
      <c r="B24" s="32" t="s">
        <v>128</v>
      </c>
      <c r="C24" s="32" t="s">
        <v>121</v>
      </c>
      <c r="D24" s="32" t="s">
        <v>106</v>
      </c>
      <c r="E24" s="32">
        <v>44</v>
      </c>
      <c r="F24" s="32">
        <v>35</v>
      </c>
      <c r="G24" s="32">
        <v>9</v>
      </c>
      <c r="H24" s="36">
        <v>12350</v>
      </c>
      <c r="I24" s="36">
        <v>3420</v>
      </c>
      <c r="J24" s="32">
        <v>40</v>
      </c>
      <c r="K24" s="32">
        <v>4</v>
      </c>
      <c r="L24" s="32">
        <v>40</v>
      </c>
      <c r="M24" s="32">
        <v>0</v>
      </c>
      <c r="N24" s="37">
        <v>43669</v>
      </c>
      <c r="O24" s="32" t="s">
        <v>122</v>
      </c>
    </row>
    <row r="25" spans="1:15" ht="15.75" customHeight="1">
      <c r="A25" s="32" t="s">
        <v>98</v>
      </c>
      <c r="B25" s="32" t="s">
        <v>129</v>
      </c>
      <c r="C25" s="32" t="s">
        <v>121</v>
      </c>
      <c r="D25" s="32" t="s">
        <v>106</v>
      </c>
      <c r="E25" s="32">
        <v>46</v>
      </c>
      <c r="F25" s="32">
        <v>35</v>
      </c>
      <c r="G25" s="32">
        <v>11</v>
      </c>
      <c r="H25" s="36">
        <v>13300</v>
      </c>
      <c r="I25" s="36">
        <v>4180</v>
      </c>
      <c r="J25" s="32">
        <v>42</v>
      </c>
      <c r="K25" s="32">
        <v>4</v>
      </c>
      <c r="L25" s="32">
        <v>36</v>
      </c>
      <c r="M25" s="32">
        <v>6</v>
      </c>
      <c r="N25" s="37">
        <v>44079</v>
      </c>
      <c r="O25" s="32" t="s">
        <v>122</v>
      </c>
    </row>
    <row r="26" spans="1:15" ht="15.75" customHeight="1">
      <c r="A26" s="32" t="s">
        <v>98</v>
      </c>
      <c r="B26" s="32" t="s">
        <v>130</v>
      </c>
      <c r="C26" s="32" t="s">
        <v>121</v>
      </c>
      <c r="D26" s="32" t="s">
        <v>109</v>
      </c>
      <c r="E26" s="32">
        <v>47</v>
      </c>
      <c r="F26" s="32">
        <v>37</v>
      </c>
      <c r="G26" s="32">
        <v>10</v>
      </c>
      <c r="H26" s="36">
        <v>12730</v>
      </c>
      <c r="I26" s="36">
        <v>3800</v>
      </c>
      <c r="J26" s="32">
        <v>42</v>
      </c>
      <c r="K26" s="32">
        <v>5</v>
      </c>
      <c r="L26" s="32">
        <v>38</v>
      </c>
      <c r="M26" s="32">
        <v>4</v>
      </c>
      <c r="N26" s="37">
        <v>43539</v>
      </c>
      <c r="O26" s="32" t="s">
        <v>122</v>
      </c>
    </row>
    <row r="27" spans="1:15" ht="15.75" customHeight="1">
      <c r="A27" s="32" t="s">
        <v>98</v>
      </c>
      <c r="B27" s="32" t="s">
        <v>131</v>
      </c>
      <c r="C27" s="32" t="s">
        <v>121</v>
      </c>
      <c r="D27" s="32" t="s">
        <v>111</v>
      </c>
      <c r="E27" s="32">
        <v>48</v>
      </c>
      <c r="F27" s="32">
        <v>36</v>
      </c>
      <c r="G27" s="32">
        <v>12</v>
      </c>
      <c r="H27" s="36">
        <v>12540</v>
      </c>
      <c r="I27" s="36">
        <v>4560</v>
      </c>
      <c r="J27" s="32">
        <v>43</v>
      </c>
      <c r="K27" s="32">
        <v>5</v>
      </c>
      <c r="L27" s="32">
        <v>40</v>
      </c>
      <c r="M27" s="32">
        <v>3</v>
      </c>
      <c r="N27" s="37">
        <v>43596</v>
      </c>
      <c r="O27" s="32" t="s">
        <v>122</v>
      </c>
    </row>
    <row r="28" spans="1:15" ht="15.75" customHeight="1">
      <c r="A28" s="32" t="s">
        <v>98</v>
      </c>
      <c r="B28" s="32" t="s">
        <v>132</v>
      </c>
      <c r="C28" s="32" t="s">
        <v>121</v>
      </c>
      <c r="D28" s="32" t="s">
        <v>113</v>
      </c>
      <c r="E28" s="32">
        <v>46</v>
      </c>
      <c r="F28" s="32">
        <v>36</v>
      </c>
      <c r="G28" s="32">
        <v>10</v>
      </c>
      <c r="H28" s="36">
        <v>12350</v>
      </c>
      <c r="I28" s="36">
        <v>3800</v>
      </c>
      <c r="J28" s="32">
        <v>46</v>
      </c>
      <c r="K28" s="32">
        <v>0</v>
      </c>
      <c r="L28" s="32">
        <v>43</v>
      </c>
      <c r="M28" s="32">
        <v>3</v>
      </c>
      <c r="N28" s="37">
        <v>43714</v>
      </c>
      <c r="O28" s="32" t="s">
        <v>122</v>
      </c>
    </row>
    <row r="29" spans="1:15" ht="15.75" customHeight="1">
      <c r="A29" s="32" t="s">
        <v>133</v>
      </c>
      <c r="B29" s="32" t="s">
        <v>134</v>
      </c>
      <c r="C29" s="32" t="s">
        <v>100</v>
      </c>
      <c r="D29" s="32" t="s">
        <v>101</v>
      </c>
      <c r="E29" s="32">
        <v>37</v>
      </c>
      <c r="F29" s="32">
        <v>29</v>
      </c>
      <c r="G29" s="32">
        <v>8</v>
      </c>
      <c r="H29" s="36">
        <v>10260</v>
      </c>
      <c r="I29" s="36">
        <v>3040</v>
      </c>
      <c r="J29" s="32">
        <v>36</v>
      </c>
      <c r="K29" s="32">
        <v>1</v>
      </c>
      <c r="L29" s="32">
        <v>31</v>
      </c>
      <c r="M29" s="32">
        <v>5</v>
      </c>
      <c r="N29" s="37">
        <v>43815</v>
      </c>
      <c r="O29" s="32" t="s">
        <v>102</v>
      </c>
    </row>
    <row r="30" spans="1:15" ht="15.75" customHeight="1">
      <c r="A30" s="32" t="s">
        <v>133</v>
      </c>
      <c r="B30" s="32" t="s">
        <v>135</v>
      </c>
      <c r="C30" s="32" t="s">
        <v>100</v>
      </c>
      <c r="D30" s="32" t="s">
        <v>104</v>
      </c>
      <c r="E30" s="32">
        <v>43</v>
      </c>
      <c r="F30" s="32">
        <v>37</v>
      </c>
      <c r="G30" s="32">
        <v>6</v>
      </c>
      <c r="H30" s="36">
        <v>14060</v>
      </c>
      <c r="I30" s="36">
        <v>2280</v>
      </c>
      <c r="J30" s="32">
        <v>40</v>
      </c>
      <c r="K30" s="32">
        <v>3</v>
      </c>
      <c r="L30" s="32">
        <v>33</v>
      </c>
      <c r="M30" s="32">
        <v>7</v>
      </c>
      <c r="N30" s="37">
        <v>43780</v>
      </c>
      <c r="O30" s="32" t="s">
        <v>102</v>
      </c>
    </row>
    <row r="31" spans="1:15" ht="15.75" customHeight="1">
      <c r="A31" s="32" t="s">
        <v>133</v>
      </c>
      <c r="B31" s="32" t="s">
        <v>136</v>
      </c>
      <c r="C31" s="32" t="s">
        <v>100</v>
      </c>
      <c r="D31" s="32" t="s">
        <v>104</v>
      </c>
      <c r="E31" s="32">
        <v>42</v>
      </c>
      <c r="F31" s="32">
        <v>37</v>
      </c>
      <c r="G31" s="32">
        <v>5</v>
      </c>
      <c r="H31" s="36">
        <v>14060</v>
      </c>
      <c r="I31" s="36">
        <v>1900</v>
      </c>
      <c r="J31" s="32">
        <v>37</v>
      </c>
      <c r="K31" s="32">
        <v>5</v>
      </c>
      <c r="L31" s="32">
        <v>37</v>
      </c>
      <c r="M31" s="32">
        <v>0</v>
      </c>
      <c r="N31" s="37">
        <v>44127</v>
      </c>
      <c r="O31" s="32" t="s">
        <v>102</v>
      </c>
    </row>
    <row r="32" spans="1:15" ht="15.75" customHeight="1">
      <c r="A32" s="32" t="s">
        <v>133</v>
      </c>
      <c r="B32" s="32" t="s">
        <v>137</v>
      </c>
      <c r="C32" s="32" t="s">
        <v>100</v>
      </c>
      <c r="D32" s="32" t="s">
        <v>106</v>
      </c>
      <c r="E32" s="32">
        <v>42</v>
      </c>
      <c r="F32" s="32">
        <v>36</v>
      </c>
      <c r="G32" s="32">
        <v>6</v>
      </c>
      <c r="H32" s="36">
        <v>12920</v>
      </c>
      <c r="I32" s="36">
        <v>2280</v>
      </c>
      <c r="J32" s="32">
        <v>40</v>
      </c>
      <c r="K32" s="32">
        <v>2</v>
      </c>
      <c r="L32" s="32">
        <v>38</v>
      </c>
      <c r="M32" s="32">
        <v>2</v>
      </c>
      <c r="N32" s="37">
        <v>44158</v>
      </c>
      <c r="O32" s="32" t="s">
        <v>102</v>
      </c>
    </row>
    <row r="33" spans="1:15" ht="15.75" customHeight="1">
      <c r="A33" s="32" t="s">
        <v>133</v>
      </c>
      <c r="B33" s="32" t="s">
        <v>138</v>
      </c>
      <c r="C33" s="32" t="s">
        <v>100</v>
      </c>
      <c r="D33" s="32" t="s">
        <v>109</v>
      </c>
      <c r="E33" s="32">
        <v>36</v>
      </c>
      <c r="F33" s="32">
        <v>29</v>
      </c>
      <c r="G33" s="32">
        <v>7</v>
      </c>
      <c r="H33" s="36">
        <v>10450</v>
      </c>
      <c r="I33" s="36">
        <v>2660</v>
      </c>
      <c r="J33" s="32">
        <v>35</v>
      </c>
      <c r="K33" s="32">
        <v>1</v>
      </c>
      <c r="L33" s="32">
        <v>28</v>
      </c>
      <c r="M33" s="32">
        <v>7</v>
      </c>
      <c r="N33" s="37">
        <v>43588</v>
      </c>
      <c r="O33" s="32" t="s">
        <v>102</v>
      </c>
    </row>
    <row r="34" spans="1:15" ht="15.75" customHeight="1">
      <c r="A34" s="32" t="s">
        <v>133</v>
      </c>
      <c r="B34" s="32" t="s">
        <v>139</v>
      </c>
      <c r="C34" s="32" t="s">
        <v>100</v>
      </c>
      <c r="D34" s="32" t="s">
        <v>111</v>
      </c>
      <c r="E34" s="32">
        <v>39</v>
      </c>
      <c r="F34" s="32">
        <v>33</v>
      </c>
      <c r="G34" s="32">
        <v>6</v>
      </c>
      <c r="H34" s="36">
        <v>12540</v>
      </c>
      <c r="I34" s="36">
        <v>2280</v>
      </c>
      <c r="J34" s="32">
        <v>36</v>
      </c>
      <c r="K34" s="32">
        <v>3</v>
      </c>
      <c r="L34" s="32">
        <v>30</v>
      </c>
      <c r="M34" s="32">
        <v>6</v>
      </c>
      <c r="N34" s="37">
        <v>43118</v>
      </c>
      <c r="O34" s="32" t="s">
        <v>102</v>
      </c>
    </row>
    <row r="35" spans="1:15" ht="15.75" customHeight="1">
      <c r="A35" s="32" t="s">
        <v>133</v>
      </c>
      <c r="B35" s="32" t="s">
        <v>140</v>
      </c>
      <c r="C35" s="32" t="s">
        <v>100</v>
      </c>
      <c r="D35" s="32" t="s">
        <v>113</v>
      </c>
      <c r="E35" s="32">
        <v>40</v>
      </c>
      <c r="F35" s="32">
        <v>34</v>
      </c>
      <c r="G35" s="32">
        <v>6</v>
      </c>
      <c r="H35" s="36">
        <v>12160</v>
      </c>
      <c r="I35" s="36">
        <v>2280</v>
      </c>
      <c r="J35" s="32">
        <v>40</v>
      </c>
      <c r="K35" s="32">
        <v>0</v>
      </c>
      <c r="L35" s="32">
        <v>40</v>
      </c>
      <c r="M35" s="32">
        <v>0</v>
      </c>
      <c r="N35" s="37">
        <v>43819</v>
      </c>
      <c r="O35" s="32" t="s">
        <v>102</v>
      </c>
    </row>
    <row r="36" spans="1:15" ht="15.75" customHeight="1">
      <c r="A36" s="32" t="s">
        <v>133</v>
      </c>
      <c r="B36" s="32" t="s">
        <v>141</v>
      </c>
      <c r="C36" s="32" t="s">
        <v>100</v>
      </c>
      <c r="D36" s="32" t="s">
        <v>142</v>
      </c>
      <c r="E36" s="32">
        <v>39</v>
      </c>
      <c r="F36" s="32">
        <v>32</v>
      </c>
      <c r="G36" s="32">
        <v>7</v>
      </c>
      <c r="H36" s="36">
        <v>11210</v>
      </c>
      <c r="I36" s="36">
        <v>2660</v>
      </c>
      <c r="J36" s="32">
        <v>38</v>
      </c>
      <c r="K36" s="32">
        <v>1</v>
      </c>
      <c r="L36" s="32">
        <v>38</v>
      </c>
      <c r="M36" s="32">
        <v>0</v>
      </c>
      <c r="N36" s="37">
        <v>43386</v>
      </c>
      <c r="O36" s="32" t="s">
        <v>102</v>
      </c>
    </row>
    <row r="37" spans="1:15" ht="15.75" customHeight="1">
      <c r="A37" s="32" t="s">
        <v>133</v>
      </c>
      <c r="B37" s="32" t="s">
        <v>143</v>
      </c>
      <c r="C37" s="32" t="s">
        <v>115</v>
      </c>
      <c r="D37" s="32" t="s">
        <v>101</v>
      </c>
      <c r="E37" s="32">
        <v>43</v>
      </c>
      <c r="F37" s="32">
        <v>36</v>
      </c>
      <c r="G37" s="32">
        <v>7</v>
      </c>
      <c r="H37" s="36">
        <v>13680</v>
      </c>
      <c r="I37" s="36">
        <v>2660</v>
      </c>
      <c r="J37" s="32">
        <v>39</v>
      </c>
      <c r="K37" s="32">
        <v>4</v>
      </c>
      <c r="L37" s="32">
        <v>33</v>
      </c>
      <c r="M37" s="32">
        <v>6</v>
      </c>
      <c r="N37" s="37">
        <v>43308</v>
      </c>
      <c r="O37" s="32" t="s">
        <v>102</v>
      </c>
    </row>
    <row r="38" spans="1:15" ht="15.75" customHeight="1">
      <c r="A38" s="32" t="s">
        <v>133</v>
      </c>
      <c r="B38" s="32" t="s">
        <v>144</v>
      </c>
      <c r="C38" s="32" t="s">
        <v>115</v>
      </c>
      <c r="D38" s="32" t="s">
        <v>104</v>
      </c>
      <c r="E38" s="32">
        <v>40</v>
      </c>
      <c r="F38" s="32">
        <v>31</v>
      </c>
      <c r="G38" s="32">
        <v>9</v>
      </c>
      <c r="H38" s="36">
        <v>11780</v>
      </c>
      <c r="I38" s="36">
        <v>3420</v>
      </c>
      <c r="J38" s="32">
        <v>37</v>
      </c>
      <c r="K38" s="32">
        <v>3</v>
      </c>
      <c r="L38" s="32">
        <v>34</v>
      </c>
      <c r="M38" s="32">
        <v>3</v>
      </c>
      <c r="N38" s="37">
        <v>44070</v>
      </c>
      <c r="O38" s="32" t="s">
        <v>102</v>
      </c>
    </row>
    <row r="39" spans="1:15" ht="15.75" customHeight="1">
      <c r="A39" s="32" t="s">
        <v>133</v>
      </c>
      <c r="B39" s="32" t="s">
        <v>145</v>
      </c>
      <c r="C39" s="32" t="s">
        <v>115</v>
      </c>
      <c r="D39" s="32" t="s">
        <v>104</v>
      </c>
      <c r="E39" s="32">
        <v>45</v>
      </c>
      <c r="F39" s="32">
        <v>39</v>
      </c>
      <c r="G39" s="32">
        <v>6</v>
      </c>
      <c r="H39" s="36">
        <v>14820</v>
      </c>
      <c r="I39" s="36">
        <v>2280</v>
      </c>
      <c r="J39" s="32">
        <v>44</v>
      </c>
      <c r="K39" s="32">
        <v>1</v>
      </c>
      <c r="L39" s="32">
        <v>36</v>
      </c>
      <c r="M39" s="32">
        <v>8</v>
      </c>
      <c r="N39" s="37">
        <v>43348</v>
      </c>
      <c r="O39" s="32" t="s">
        <v>102</v>
      </c>
    </row>
    <row r="40" spans="1:15" ht="15.75" customHeight="1">
      <c r="A40" s="32" t="s">
        <v>133</v>
      </c>
      <c r="B40" s="32" t="s">
        <v>146</v>
      </c>
      <c r="C40" s="32" t="s">
        <v>115</v>
      </c>
      <c r="D40" s="32" t="s">
        <v>106</v>
      </c>
      <c r="E40" s="32">
        <v>36</v>
      </c>
      <c r="F40" s="32">
        <v>29</v>
      </c>
      <c r="G40" s="32">
        <v>7</v>
      </c>
      <c r="H40" s="36">
        <v>10450</v>
      </c>
      <c r="I40" s="36">
        <v>2660</v>
      </c>
      <c r="J40" s="32">
        <v>31</v>
      </c>
      <c r="K40" s="32">
        <v>5</v>
      </c>
      <c r="L40" s="32">
        <v>26</v>
      </c>
      <c r="M40" s="32">
        <v>5</v>
      </c>
      <c r="N40" s="37">
        <v>43517</v>
      </c>
      <c r="O40" s="32" t="s">
        <v>102</v>
      </c>
    </row>
    <row r="41" spans="1:15" ht="15.75" customHeight="1">
      <c r="A41" s="32" t="s">
        <v>133</v>
      </c>
      <c r="B41" s="32" t="s">
        <v>147</v>
      </c>
      <c r="C41" s="32" t="s">
        <v>115</v>
      </c>
      <c r="D41" s="32" t="s">
        <v>106</v>
      </c>
      <c r="E41" s="32">
        <v>35</v>
      </c>
      <c r="F41" s="32">
        <v>28</v>
      </c>
      <c r="G41" s="32">
        <v>7</v>
      </c>
      <c r="H41" s="36">
        <v>10070</v>
      </c>
      <c r="I41" s="36">
        <v>2660</v>
      </c>
      <c r="J41" s="32">
        <v>33</v>
      </c>
      <c r="K41" s="32">
        <v>2</v>
      </c>
      <c r="L41" s="32">
        <v>28</v>
      </c>
      <c r="M41" s="32">
        <v>5</v>
      </c>
      <c r="N41" s="37">
        <v>43359</v>
      </c>
      <c r="O41" s="32" t="s">
        <v>102</v>
      </c>
    </row>
    <row r="42" spans="1:15" ht="15.75" customHeight="1">
      <c r="A42" s="32" t="s">
        <v>133</v>
      </c>
      <c r="B42" s="32" t="s">
        <v>148</v>
      </c>
      <c r="C42" s="32" t="s">
        <v>115</v>
      </c>
      <c r="D42" s="32" t="s">
        <v>109</v>
      </c>
      <c r="E42" s="32">
        <v>38</v>
      </c>
      <c r="F42" s="32">
        <v>32</v>
      </c>
      <c r="G42" s="32">
        <v>6</v>
      </c>
      <c r="H42" s="36">
        <v>11400</v>
      </c>
      <c r="I42" s="36">
        <v>2280</v>
      </c>
      <c r="J42" s="32">
        <v>32</v>
      </c>
      <c r="K42" s="32">
        <v>6</v>
      </c>
      <c r="L42" s="32">
        <v>26</v>
      </c>
      <c r="M42" s="32">
        <v>6</v>
      </c>
      <c r="N42" s="37">
        <v>43113</v>
      </c>
      <c r="O42" s="32" t="s">
        <v>102</v>
      </c>
    </row>
    <row r="43" spans="1:15" ht="15.75" customHeight="1">
      <c r="A43" s="32" t="s">
        <v>133</v>
      </c>
      <c r="B43" s="32" t="s">
        <v>149</v>
      </c>
      <c r="C43" s="32" t="s">
        <v>115</v>
      </c>
      <c r="D43" s="32" t="s">
        <v>111</v>
      </c>
      <c r="E43" s="32">
        <v>38</v>
      </c>
      <c r="F43" s="32">
        <v>32</v>
      </c>
      <c r="G43" s="32">
        <v>6</v>
      </c>
      <c r="H43" s="36">
        <v>12160</v>
      </c>
      <c r="I43" s="36">
        <v>2280</v>
      </c>
      <c r="J43" s="32">
        <v>32</v>
      </c>
      <c r="K43" s="32">
        <v>6</v>
      </c>
      <c r="L43" s="32">
        <v>29</v>
      </c>
      <c r="M43" s="32">
        <v>3</v>
      </c>
      <c r="N43" s="37">
        <v>43988</v>
      </c>
      <c r="O43" s="32" t="s">
        <v>102</v>
      </c>
    </row>
    <row r="44" spans="1:15" ht="15.75" customHeight="1">
      <c r="A44" s="32" t="s">
        <v>133</v>
      </c>
      <c r="B44" s="32" t="s">
        <v>150</v>
      </c>
      <c r="C44" s="32" t="s">
        <v>115</v>
      </c>
      <c r="D44" s="32" t="s">
        <v>113</v>
      </c>
      <c r="E44" s="32">
        <v>44</v>
      </c>
      <c r="F44" s="32">
        <v>39</v>
      </c>
      <c r="G44" s="32">
        <v>5</v>
      </c>
      <c r="H44" s="36">
        <v>13870</v>
      </c>
      <c r="I44" s="36">
        <v>1900</v>
      </c>
      <c r="J44" s="32">
        <v>40</v>
      </c>
      <c r="K44" s="32">
        <v>4</v>
      </c>
      <c r="L44" s="32">
        <v>38</v>
      </c>
      <c r="M44" s="32">
        <v>2</v>
      </c>
      <c r="N44" s="37">
        <v>43699</v>
      </c>
      <c r="O44" s="32" t="s">
        <v>102</v>
      </c>
    </row>
    <row r="45" spans="1:15" ht="15.75" customHeight="1">
      <c r="A45" s="32" t="s">
        <v>133</v>
      </c>
      <c r="B45" s="32" t="s">
        <v>151</v>
      </c>
      <c r="C45" s="32" t="s">
        <v>121</v>
      </c>
      <c r="D45" s="32" t="s">
        <v>101</v>
      </c>
      <c r="E45" s="32">
        <v>42</v>
      </c>
      <c r="F45" s="32">
        <v>36</v>
      </c>
      <c r="G45" s="32">
        <v>6</v>
      </c>
      <c r="H45" s="36">
        <v>13680</v>
      </c>
      <c r="I45" s="36">
        <v>2280</v>
      </c>
      <c r="J45" s="32">
        <v>37</v>
      </c>
      <c r="K45" s="32">
        <v>5</v>
      </c>
      <c r="L45" s="32">
        <v>33</v>
      </c>
      <c r="M45" s="32">
        <v>4</v>
      </c>
      <c r="N45" s="37">
        <v>43874</v>
      </c>
      <c r="O45" s="32" t="s">
        <v>102</v>
      </c>
    </row>
    <row r="46" spans="1:15" ht="15.75" customHeight="1">
      <c r="A46" s="32" t="s">
        <v>133</v>
      </c>
      <c r="B46" s="32" t="s">
        <v>152</v>
      </c>
      <c r="C46" s="32" t="s">
        <v>121</v>
      </c>
      <c r="D46" s="32" t="s">
        <v>104</v>
      </c>
      <c r="E46" s="32">
        <v>42</v>
      </c>
      <c r="F46" s="32">
        <v>32</v>
      </c>
      <c r="G46" s="32">
        <v>10</v>
      </c>
      <c r="H46" s="36">
        <v>11590</v>
      </c>
      <c r="I46" s="36">
        <v>3800</v>
      </c>
      <c r="J46" s="32">
        <v>42</v>
      </c>
      <c r="K46" s="32">
        <v>0</v>
      </c>
      <c r="L46" s="32">
        <v>41</v>
      </c>
      <c r="M46" s="32">
        <v>1</v>
      </c>
      <c r="N46" s="37">
        <v>44155</v>
      </c>
      <c r="O46" s="32" t="s">
        <v>102</v>
      </c>
    </row>
    <row r="47" spans="1:15" ht="15.75" customHeight="1">
      <c r="A47" s="32" t="s">
        <v>133</v>
      </c>
      <c r="B47" s="32" t="s">
        <v>153</v>
      </c>
      <c r="C47" s="32" t="s">
        <v>121</v>
      </c>
      <c r="D47" s="32" t="s">
        <v>106</v>
      </c>
      <c r="E47" s="32">
        <v>44</v>
      </c>
      <c r="F47" s="32">
        <v>35</v>
      </c>
      <c r="G47" s="32">
        <v>9</v>
      </c>
      <c r="H47" s="36">
        <v>12350</v>
      </c>
      <c r="I47" s="36">
        <v>3420</v>
      </c>
      <c r="J47" s="32">
        <v>42</v>
      </c>
      <c r="K47" s="32">
        <v>2</v>
      </c>
      <c r="L47" s="32">
        <v>42</v>
      </c>
      <c r="M47" s="32">
        <v>0</v>
      </c>
      <c r="N47" s="37">
        <v>43266</v>
      </c>
      <c r="O47" s="32" t="s">
        <v>102</v>
      </c>
    </row>
    <row r="48" spans="1:15" ht="15.75" customHeight="1">
      <c r="A48" s="32" t="s">
        <v>133</v>
      </c>
      <c r="B48" s="32" t="s">
        <v>154</v>
      </c>
      <c r="C48" s="32" t="s">
        <v>121</v>
      </c>
      <c r="D48" s="32" t="s">
        <v>109</v>
      </c>
      <c r="E48" s="32">
        <v>40</v>
      </c>
      <c r="F48" s="32">
        <v>31</v>
      </c>
      <c r="G48" s="32">
        <v>9</v>
      </c>
      <c r="H48" s="36">
        <v>11780</v>
      </c>
      <c r="I48" s="36">
        <v>3420</v>
      </c>
      <c r="J48" s="32">
        <v>39</v>
      </c>
      <c r="K48" s="32">
        <v>1</v>
      </c>
      <c r="L48" s="32">
        <v>32</v>
      </c>
      <c r="M48" s="32">
        <v>7</v>
      </c>
      <c r="N48" s="37">
        <v>43642</v>
      </c>
      <c r="O48" s="32" t="s">
        <v>102</v>
      </c>
    </row>
    <row r="49" spans="1:15" ht="15.75" customHeight="1">
      <c r="A49" s="32" t="s">
        <v>133</v>
      </c>
      <c r="B49" s="32" t="s">
        <v>155</v>
      </c>
      <c r="C49" s="32" t="s">
        <v>121</v>
      </c>
      <c r="D49" s="32" t="s">
        <v>111</v>
      </c>
      <c r="E49" s="32">
        <v>42</v>
      </c>
      <c r="F49" s="32">
        <v>34</v>
      </c>
      <c r="G49" s="32">
        <v>8</v>
      </c>
      <c r="H49" s="36">
        <v>12920</v>
      </c>
      <c r="I49" s="36">
        <v>3040</v>
      </c>
      <c r="J49" s="32">
        <v>42</v>
      </c>
      <c r="K49" s="32">
        <v>0</v>
      </c>
      <c r="L49" s="32">
        <v>37</v>
      </c>
      <c r="M49" s="32">
        <v>5</v>
      </c>
      <c r="N49" s="37">
        <v>44117</v>
      </c>
      <c r="O49" s="32" t="s">
        <v>102</v>
      </c>
    </row>
    <row r="50" spans="1:15" ht="15.75" customHeight="1">
      <c r="A50" s="32" t="s">
        <v>133</v>
      </c>
      <c r="B50" s="32" t="s">
        <v>156</v>
      </c>
      <c r="C50" s="32" t="s">
        <v>121</v>
      </c>
      <c r="D50" s="32" t="s">
        <v>142</v>
      </c>
      <c r="E50" s="32">
        <v>43</v>
      </c>
      <c r="F50" s="32">
        <v>36</v>
      </c>
      <c r="G50" s="32">
        <v>7</v>
      </c>
      <c r="H50" s="36">
        <v>13680</v>
      </c>
      <c r="I50" s="36">
        <v>2660</v>
      </c>
      <c r="J50" s="32">
        <v>40</v>
      </c>
      <c r="K50" s="32">
        <v>3</v>
      </c>
      <c r="L50" s="32">
        <v>32</v>
      </c>
      <c r="M50" s="32">
        <v>8</v>
      </c>
      <c r="N50" s="37">
        <v>43133</v>
      </c>
      <c r="O50" s="32" t="s">
        <v>102</v>
      </c>
    </row>
    <row r="51" spans="1:15" ht="15.75" customHeight="1">
      <c r="A51" s="32" t="s">
        <v>157</v>
      </c>
      <c r="B51" s="32" t="s">
        <v>158</v>
      </c>
      <c r="C51" s="32" t="s">
        <v>100</v>
      </c>
      <c r="D51" s="32" t="s">
        <v>101</v>
      </c>
      <c r="E51" s="32">
        <v>38</v>
      </c>
      <c r="F51" s="32">
        <v>32</v>
      </c>
      <c r="G51" s="32">
        <v>6</v>
      </c>
      <c r="H51" s="36">
        <v>12160</v>
      </c>
      <c r="I51" s="36">
        <v>3040</v>
      </c>
      <c r="J51" s="32">
        <v>31</v>
      </c>
      <c r="K51" s="32">
        <f t="shared" ref="K51:K86" si="0">E51-J51</f>
        <v>7</v>
      </c>
      <c r="L51" s="32">
        <v>26</v>
      </c>
      <c r="M51" s="32">
        <f t="shared" ref="M51:M86" si="1">J51-L51</f>
        <v>5</v>
      </c>
      <c r="N51" s="37">
        <v>43473</v>
      </c>
      <c r="O51" s="32" t="s">
        <v>159</v>
      </c>
    </row>
    <row r="52" spans="1:15" ht="15.75" customHeight="1">
      <c r="A52" s="32" t="s">
        <v>157</v>
      </c>
      <c r="B52" s="32" t="s">
        <v>160</v>
      </c>
      <c r="C52" s="32" t="s">
        <v>100</v>
      </c>
      <c r="D52" s="32" t="s">
        <v>104</v>
      </c>
      <c r="E52" s="32">
        <v>36</v>
      </c>
      <c r="F52" s="32">
        <v>31</v>
      </c>
      <c r="G52" s="32">
        <v>5</v>
      </c>
      <c r="H52" s="36">
        <v>11020</v>
      </c>
      <c r="I52" s="36">
        <v>3800</v>
      </c>
      <c r="J52" s="32">
        <v>31</v>
      </c>
      <c r="K52" s="32">
        <f t="shared" si="0"/>
        <v>5</v>
      </c>
      <c r="L52" s="32">
        <v>29</v>
      </c>
      <c r="M52" s="32">
        <f t="shared" si="1"/>
        <v>2</v>
      </c>
      <c r="N52" s="37">
        <v>44156</v>
      </c>
      <c r="O52" s="32" t="s">
        <v>159</v>
      </c>
    </row>
    <row r="53" spans="1:15" ht="15.75" customHeight="1">
      <c r="A53" s="32" t="s">
        <v>157</v>
      </c>
      <c r="B53" s="32" t="s">
        <v>161</v>
      </c>
      <c r="C53" s="32" t="s">
        <v>100</v>
      </c>
      <c r="D53" s="32" t="s">
        <v>106</v>
      </c>
      <c r="E53" s="32">
        <v>44</v>
      </c>
      <c r="F53" s="32">
        <v>37</v>
      </c>
      <c r="G53" s="32">
        <v>7</v>
      </c>
      <c r="H53" s="36">
        <v>11400</v>
      </c>
      <c r="I53" s="36">
        <v>1900</v>
      </c>
      <c r="J53" s="32">
        <v>39</v>
      </c>
      <c r="K53" s="32">
        <f t="shared" si="0"/>
        <v>5</v>
      </c>
      <c r="L53" s="32">
        <v>33</v>
      </c>
      <c r="M53" s="32">
        <f t="shared" si="1"/>
        <v>6</v>
      </c>
      <c r="N53" s="37">
        <v>44169</v>
      </c>
      <c r="O53" s="32" t="s">
        <v>159</v>
      </c>
    </row>
    <row r="54" spans="1:15" ht="15.75" customHeight="1">
      <c r="A54" s="32" t="s">
        <v>157</v>
      </c>
      <c r="B54" s="32" t="s">
        <v>162</v>
      </c>
      <c r="C54" s="32" t="s">
        <v>100</v>
      </c>
      <c r="D54" s="32" t="s">
        <v>106</v>
      </c>
      <c r="E54" s="32">
        <v>45</v>
      </c>
      <c r="F54" s="32">
        <v>34</v>
      </c>
      <c r="G54" s="32">
        <v>11</v>
      </c>
      <c r="H54" s="36">
        <v>11400</v>
      </c>
      <c r="I54" s="36">
        <v>3800</v>
      </c>
      <c r="J54" s="32">
        <v>37</v>
      </c>
      <c r="K54" s="32">
        <f t="shared" si="0"/>
        <v>8</v>
      </c>
      <c r="L54" s="32">
        <v>31</v>
      </c>
      <c r="M54" s="32">
        <f t="shared" si="1"/>
        <v>6</v>
      </c>
      <c r="N54" s="37">
        <v>43589</v>
      </c>
      <c r="O54" s="32" t="s">
        <v>159</v>
      </c>
    </row>
    <row r="55" spans="1:15" ht="15.75" customHeight="1">
      <c r="A55" s="32" t="s">
        <v>157</v>
      </c>
      <c r="B55" s="32" t="s">
        <v>163</v>
      </c>
      <c r="C55" s="32" t="s">
        <v>100</v>
      </c>
      <c r="D55" s="32" t="s">
        <v>109</v>
      </c>
      <c r="E55" s="32">
        <v>42</v>
      </c>
      <c r="F55" s="32">
        <v>37</v>
      </c>
      <c r="G55" s="32">
        <v>5</v>
      </c>
      <c r="H55" s="36">
        <v>11970</v>
      </c>
      <c r="I55" s="36">
        <v>1520</v>
      </c>
      <c r="J55" s="32">
        <v>34</v>
      </c>
      <c r="K55" s="32">
        <f t="shared" si="0"/>
        <v>8</v>
      </c>
      <c r="L55" s="32">
        <v>32</v>
      </c>
      <c r="M55" s="32">
        <f t="shared" si="1"/>
        <v>2</v>
      </c>
      <c r="N55" s="37">
        <v>43264</v>
      </c>
      <c r="O55" s="32" t="s">
        <v>159</v>
      </c>
    </row>
    <row r="56" spans="1:15" ht="15.75" customHeight="1">
      <c r="A56" s="32" t="s">
        <v>157</v>
      </c>
      <c r="B56" s="32" t="s">
        <v>164</v>
      </c>
      <c r="C56" s="32" t="s">
        <v>100</v>
      </c>
      <c r="D56" s="32" t="s">
        <v>111</v>
      </c>
      <c r="E56" s="32">
        <v>40</v>
      </c>
      <c r="F56" s="32">
        <v>36</v>
      </c>
      <c r="G56" s="32">
        <v>4</v>
      </c>
      <c r="H56" s="36">
        <v>11780</v>
      </c>
      <c r="I56" s="36">
        <v>2280</v>
      </c>
      <c r="J56" s="32">
        <v>36</v>
      </c>
      <c r="K56" s="32">
        <f t="shared" si="0"/>
        <v>4</v>
      </c>
      <c r="L56" s="32">
        <v>32</v>
      </c>
      <c r="M56" s="32">
        <f t="shared" si="1"/>
        <v>4</v>
      </c>
      <c r="N56" s="37">
        <v>43933</v>
      </c>
      <c r="O56" s="32" t="s">
        <v>159</v>
      </c>
    </row>
    <row r="57" spans="1:15" ht="15.75" customHeight="1">
      <c r="A57" s="32" t="s">
        <v>157</v>
      </c>
      <c r="B57" s="32" t="s">
        <v>165</v>
      </c>
      <c r="C57" s="32" t="s">
        <v>100</v>
      </c>
      <c r="D57" s="32" t="s">
        <v>113</v>
      </c>
      <c r="E57" s="32">
        <v>37</v>
      </c>
      <c r="F57" s="32">
        <v>29</v>
      </c>
      <c r="G57" s="32">
        <v>8</v>
      </c>
      <c r="H57" s="36">
        <v>12920</v>
      </c>
      <c r="I57" s="36">
        <v>2660</v>
      </c>
      <c r="J57" s="32">
        <v>31</v>
      </c>
      <c r="K57" s="32">
        <f t="shared" si="0"/>
        <v>6</v>
      </c>
      <c r="L57" s="32">
        <v>31</v>
      </c>
      <c r="M57" s="32">
        <f t="shared" si="1"/>
        <v>0</v>
      </c>
      <c r="N57" s="37">
        <v>43593</v>
      </c>
      <c r="O57" s="32" t="s">
        <v>159</v>
      </c>
    </row>
    <row r="58" spans="1:15" ht="15.75" customHeight="1">
      <c r="A58" s="32" t="s">
        <v>157</v>
      </c>
      <c r="B58" s="32" t="s">
        <v>166</v>
      </c>
      <c r="C58" s="32" t="s">
        <v>100</v>
      </c>
      <c r="D58" s="32" t="s">
        <v>113</v>
      </c>
      <c r="E58" s="32">
        <v>37</v>
      </c>
      <c r="F58" s="32">
        <v>32</v>
      </c>
      <c r="G58" s="32">
        <v>5</v>
      </c>
      <c r="H58" s="36">
        <v>10260</v>
      </c>
      <c r="I58" s="36">
        <v>3420</v>
      </c>
      <c r="J58" s="32">
        <v>30</v>
      </c>
      <c r="K58" s="32">
        <f t="shared" si="0"/>
        <v>7</v>
      </c>
      <c r="L58" s="32">
        <v>30</v>
      </c>
      <c r="M58" s="32">
        <f t="shared" si="1"/>
        <v>0</v>
      </c>
      <c r="N58" s="37">
        <v>43422</v>
      </c>
      <c r="O58" s="32" t="s">
        <v>159</v>
      </c>
    </row>
    <row r="59" spans="1:15" ht="15.75" customHeight="1">
      <c r="A59" s="32" t="s">
        <v>157</v>
      </c>
      <c r="B59" s="32" t="s">
        <v>167</v>
      </c>
      <c r="C59" s="32" t="s">
        <v>115</v>
      </c>
      <c r="D59" s="32" t="s">
        <v>101</v>
      </c>
      <c r="E59" s="32">
        <v>44</v>
      </c>
      <c r="F59" s="32">
        <v>39</v>
      </c>
      <c r="G59" s="32">
        <v>5</v>
      </c>
      <c r="H59" s="36">
        <v>11780</v>
      </c>
      <c r="I59" s="36">
        <v>3040</v>
      </c>
      <c r="J59" s="32">
        <v>42</v>
      </c>
      <c r="K59" s="32">
        <f t="shared" si="0"/>
        <v>2</v>
      </c>
      <c r="L59" s="32">
        <v>38</v>
      </c>
      <c r="M59" s="32">
        <f t="shared" si="1"/>
        <v>4</v>
      </c>
      <c r="N59" s="37">
        <v>44112</v>
      </c>
      <c r="O59" s="32" t="s">
        <v>159</v>
      </c>
    </row>
    <row r="60" spans="1:15" ht="15.75" customHeight="1">
      <c r="A60" s="32" t="s">
        <v>157</v>
      </c>
      <c r="B60" s="32" t="s">
        <v>168</v>
      </c>
      <c r="C60" s="32" t="s">
        <v>115</v>
      </c>
      <c r="D60" s="32" t="s">
        <v>104</v>
      </c>
      <c r="E60" s="32">
        <v>44</v>
      </c>
      <c r="F60" s="32">
        <v>34</v>
      </c>
      <c r="G60" s="32">
        <v>10</v>
      </c>
      <c r="H60" s="36">
        <v>10260</v>
      </c>
      <c r="I60" s="36">
        <v>3040</v>
      </c>
      <c r="J60" s="32">
        <v>40</v>
      </c>
      <c r="K60" s="32">
        <f t="shared" si="0"/>
        <v>4</v>
      </c>
      <c r="L60" s="32">
        <v>34</v>
      </c>
      <c r="M60" s="32">
        <f t="shared" si="1"/>
        <v>6</v>
      </c>
      <c r="N60" s="37">
        <v>43917</v>
      </c>
      <c r="O60" s="32" t="s">
        <v>159</v>
      </c>
    </row>
    <row r="61" spans="1:15" ht="15.75" customHeight="1">
      <c r="A61" s="32" t="s">
        <v>157</v>
      </c>
      <c r="B61" s="32" t="s">
        <v>169</v>
      </c>
      <c r="C61" s="32" t="s">
        <v>115</v>
      </c>
      <c r="D61" s="32" t="s">
        <v>104</v>
      </c>
      <c r="E61" s="32">
        <v>43</v>
      </c>
      <c r="F61" s="32">
        <v>34</v>
      </c>
      <c r="G61" s="32">
        <v>9</v>
      </c>
      <c r="H61" s="36">
        <v>11780</v>
      </c>
      <c r="I61" s="36">
        <v>2660</v>
      </c>
      <c r="J61" s="32">
        <v>40</v>
      </c>
      <c r="K61" s="32">
        <f t="shared" si="0"/>
        <v>3</v>
      </c>
      <c r="L61" s="32">
        <v>33</v>
      </c>
      <c r="M61" s="32">
        <f t="shared" si="1"/>
        <v>7</v>
      </c>
      <c r="N61" s="37">
        <v>43617</v>
      </c>
      <c r="O61" s="32" t="s">
        <v>159</v>
      </c>
    </row>
    <row r="62" spans="1:15" ht="15.75" customHeight="1">
      <c r="A62" s="32" t="s">
        <v>157</v>
      </c>
      <c r="B62" s="32" t="s">
        <v>170</v>
      </c>
      <c r="C62" s="32" t="s">
        <v>115</v>
      </c>
      <c r="D62" s="32" t="s">
        <v>106</v>
      </c>
      <c r="E62" s="32">
        <v>35</v>
      </c>
      <c r="F62" s="32">
        <v>30</v>
      </c>
      <c r="G62" s="32">
        <v>5</v>
      </c>
      <c r="H62" s="36">
        <v>11020</v>
      </c>
      <c r="I62" s="36">
        <v>2280</v>
      </c>
      <c r="J62" s="32">
        <v>34</v>
      </c>
      <c r="K62" s="32">
        <f t="shared" si="0"/>
        <v>1</v>
      </c>
      <c r="L62" s="32">
        <v>28</v>
      </c>
      <c r="M62" s="32">
        <f t="shared" si="1"/>
        <v>6</v>
      </c>
      <c r="N62" s="37">
        <v>43961</v>
      </c>
      <c r="O62" s="32" t="s">
        <v>159</v>
      </c>
    </row>
    <row r="63" spans="1:15" ht="15.75" customHeight="1">
      <c r="A63" s="32" t="s">
        <v>157</v>
      </c>
      <c r="B63" s="32" t="s">
        <v>171</v>
      </c>
      <c r="C63" s="32" t="s">
        <v>115</v>
      </c>
      <c r="D63" s="32" t="s">
        <v>109</v>
      </c>
      <c r="E63" s="32">
        <v>43</v>
      </c>
      <c r="F63" s="32">
        <v>33</v>
      </c>
      <c r="G63" s="32">
        <v>10</v>
      </c>
      <c r="H63" s="36">
        <v>9880</v>
      </c>
      <c r="I63" s="36">
        <v>3040</v>
      </c>
      <c r="J63" s="32">
        <v>42</v>
      </c>
      <c r="K63" s="32">
        <f t="shared" si="0"/>
        <v>1</v>
      </c>
      <c r="L63" s="32">
        <v>36</v>
      </c>
      <c r="M63" s="32">
        <f t="shared" si="1"/>
        <v>6</v>
      </c>
      <c r="N63" s="37">
        <v>43228</v>
      </c>
      <c r="O63" s="32" t="s">
        <v>159</v>
      </c>
    </row>
    <row r="64" spans="1:15" ht="15.75" customHeight="1">
      <c r="A64" s="32" t="s">
        <v>157</v>
      </c>
      <c r="B64" s="32" t="s">
        <v>172</v>
      </c>
      <c r="C64" s="32" t="s">
        <v>115</v>
      </c>
      <c r="D64" s="32" t="s">
        <v>111</v>
      </c>
      <c r="E64" s="32">
        <v>41</v>
      </c>
      <c r="F64" s="32">
        <v>32</v>
      </c>
      <c r="G64" s="32">
        <v>9</v>
      </c>
      <c r="H64" s="36">
        <v>11210</v>
      </c>
      <c r="I64" s="36">
        <v>2280</v>
      </c>
      <c r="J64" s="32">
        <v>38</v>
      </c>
      <c r="K64" s="32">
        <f t="shared" si="0"/>
        <v>3</v>
      </c>
      <c r="L64" s="32">
        <v>35</v>
      </c>
      <c r="M64" s="32">
        <f t="shared" si="1"/>
        <v>3</v>
      </c>
      <c r="N64" s="37">
        <v>44052</v>
      </c>
      <c r="O64" s="32" t="s">
        <v>159</v>
      </c>
    </row>
    <row r="65" spans="1:15" ht="15.75" customHeight="1">
      <c r="A65" s="32" t="s">
        <v>157</v>
      </c>
      <c r="B65" s="32" t="s">
        <v>173</v>
      </c>
      <c r="C65" s="32" t="s">
        <v>115</v>
      </c>
      <c r="D65" s="32" t="s">
        <v>113</v>
      </c>
      <c r="E65" s="32">
        <v>37</v>
      </c>
      <c r="F65" s="32">
        <v>30</v>
      </c>
      <c r="G65" s="32">
        <v>7</v>
      </c>
      <c r="H65" s="36">
        <v>11780</v>
      </c>
      <c r="I65" s="36">
        <v>1520</v>
      </c>
      <c r="J65" s="32">
        <v>30</v>
      </c>
      <c r="K65" s="32">
        <f t="shared" si="0"/>
        <v>7</v>
      </c>
      <c r="L65" s="32">
        <v>25</v>
      </c>
      <c r="M65" s="32">
        <f t="shared" si="1"/>
        <v>5</v>
      </c>
      <c r="N65" s="37">
        <v>44075</v>
      </c>
      <c r="O65" s="32" t="s">
        <v>159</v>
      </c>
    </row>
    <row r="66" spans="1:15" ht="15.75" customHeight="1">
      <c r="A66" s="32" t="s">
        <v>157</v>
      </c>
      <c r="B66" s="32" t="s">
        <v>174</v>
      </c>
      <c r="C66" s="32" t="s">
        <v>121</v>
      </c>
      <c r="D66" s="32" t="s">
        <v>101</v>
      </c>
      <c r="E66" s="32">
        <v>37</v>
      </c>
      <c r="F66" s="32">
        <v>30</v>
      </c>
      <c r="G66" s="32">
        <v>7</v>
      </c>
      <c r="H66" s="36">
        <v>12160</v>
      </c>
      <c r="I66" s="36">
        <v>1900</v>
      </c>
      <c r="J66" s="32">
        <v>30</v>
      </c>
      <c r="K66" s="32">
        <f t="shared" si="0"/>
        <v>7</v>
      </c>
      <c r="L66" s="32">
        <v>26</v>
      </c>
      <c r="M66" s="32">
        <f t="shared" si="1"/>
        <v>4</v>
      </c>
      <c r="N66" s="37">
        <v>43905</v>
      </c>
      <c r="O66" s="32" t="s">
        <v>102</v>
      </c>
    </row>
    <row r="67" spans="1:15" ht="15.75" customHeight="1">
      <c r="A67" s="32" t="s">
        <v>157</v>
      </c>
      <c r="B67" s="32" t="s">
        <v>175</v>
      </c>
      <c r="C67" s="32" t="s">
        <v>121</v>
      </c>
      <c r="D67" s="32" t="s">
        <v>104</v>
      </c>
      <c r="E67" s="32">
        <v>37</v>
      </c>
      <c r="F67" s="32">
        <v>32</v>
      </c>
      <c r="G67" s="32">
        <v>5</v>
      </c>
      <c r="H67" s="36">
        <v>12160</v>
      </c>
      <c r="I67" s="36">
        <v>3040</v>
      </c>
      <c r="J67" s="32">
        <v>36</v>
      </c>
      <c r="K67" s="32">
        <f t="shared" si="0"/>
        <v>1</v>
      </c>
      <c r="L67" s="32">
        <v>35</v>
      </c>
      <c r="M67" s="32">
        <f t="shared" si="1"/>
        <v>1</v>
      </c>
      <c r="N67" s="37">
        <v>43654</v>
      </c>
      <c r="O67" s="32" t="s">
        <v>102</v>
      </c>
    </row>
    <row r="68" spans="1:15" ht="15.75" customHeight="1">
      <c r="A68" s="32" t="s">
        <v>157</v>
      </c>
      <c r="B68" s="32" t="s">
        <v>176</v>
      </c>
      <c r="C68" s="32" t="s">
        <v>121</v>
      </c>
      <c r="D68" s="32" t="s">
        <v>106</v>
      </c>
      <c r="E68" s="32">
        <v>35</v>
      </c>
      <c r="F68" s="32">
        <v>32</v>
      </c>
      <c r="G68" s="32">
        <v>3</v>
      </c>
      <c r="H68" s="36">
        <v>12160</v>
      </c>
      <c r="I68" s="36">
        <v>3420</v>
      </c>
      <c r="J68" s="32">
        <v>29</v>
      </c>
      <c r="K68" s="32">
        <f t="shared" si="0"/>
        <v>6</v>
      </c>
      <c r="L68" s="32">
        <v>25</v>
      </c>
      <c r="M68" s="32">
        <f t="shared" si="1"/>
        <v>4</v>
      </c>
      <c r="N68" s="37">
        <v>43668</v>
      </c>
      <c r="O68" s="32" t="s">
        <v>102</v>
      </c>
    </row>
    <row r="69" spans="1:15" ht="15.75" customHeight="1">
      <c r="A69" s="32" t="s">
        <v>157</v>
      </c>
      <c r="B69" s="32" t="s">
        <v>177</v>
      </c>
      <c r="C69" s="32" t="s">
        <v>121</v>
      </c>
      <c r="D69" s="32" t="s">
        <v>109</v>
      </c>
      <c r="E69" s="32">
        <v>41</v>
      </c>
      <c r="F69" s="32">
        <v>34</v>
      </c>
      <c r="G69" s="32">
        <v>7</v>
      </c>
      <c r="H69" s="36">
        <v>9310</v>
      </c>
      <c r="I69" s="36">
        <v>3040</v>
      </c>
      <c r="J69" s="32">
        <v>35</v>
      </c>
      <c r="K69" s="32">
        <f t="shared" si="0"/>
        <v>6</v>
      </c>
      <c r="L69" s="32">
        <v>32</v>
      </c>
      <c r="M69" s="32">
        <f t="shared" si="1"/>
        <v>3</v>
      </c>
      <c r="N69" s="37">
        <v>43687</v>
      </c>
      <c r="O69" s="32" t="s">
        <v>102</v>
      </c>
    </row>
    <row r="70" spans="1:15" ht="15.75" customHeight="1">
      <c r="A70" s="32" t="s">
        <v>157</v>
      </c>
      <c r="B70" s="32" t="s">
        <v>178</v>
      </c>
      <c r="C70" s="32" t="s">
        <v>121</v>
      </c>
      <c r="D70" s="32" t="s">
        <v>111</v>
      </c>
      <c r="E70" s="32">
        <v>45</v>
      </c>
      <c r="F70" s="32">
        <v>37</v>
      </c>
      <c r="G70" s="32">
        <v>8</v>
      </c>
      <c r="H70" s="36">
        <v>14060</v>
      </c>
      <c r="I70" s="36">
        <v>2660</v>
      </c>
      <c r="J70" s="32">
        <v>39</v>
      </c>
      <c r="K70" s="32">
        <f t="shared" si="0"/>
        <v>6</v>
      </c>
      <c r="L70" s="32">
        <v>34</v>
      </c>
      <c r="M70" s="32">
        <f t="shared" si="1"/>
        <v>5</v>
      </c>
      <c r="N70" s="37">
        <v>43668</v>
      </c>
      <c r="O70" s="32" t="s">
        <v>102</v>
      </c>
    </row>
    <row r="71" spans="1:15" ht="15.75" customHeight="1">
      <c r="A71" s="32" t="s">
        <v>157</v>
      </c>
      <c r="B71" s="32" t="s">
        <v>179</v>
      </c>
      <c r="C71" s="32" t="s">
        <v>121</v>
      </c>
      <c r="D71" s="32" t="s">
        <v>113</v>
      </c>
      <c r="E71" s="32">
        <v>38</v>
      </c>
      <c r="F71" s="32">
        <v>31</v>
      </c>
      <c r="G71" s="32">
        <v>7</v>
      </c>
      <c r="H71" s="36">
        <v>11020</v>
      </c>
      <c r="I71" s="36">
        <v>2280</v>
      </c>
      <c r="J71" s="32">
        <v>37</v>
      </c>
      <c r="K71" s="32">
        <f t="shared" si="0"/>
        <v>1</v>
      </c>
      <c r="L71" s="32">
        <v>32</v>
      </c>
      <c r="M71" s="32">
        <f t="shared" si="1"/>
        <v>5</v>
      </c>
      <c r="N71" s="37">
        <v>43628</v>
      </c>
      <c r="O71" s="32" t="s">
        <v>102</v>
      </c>
    </row>
    <row r="72" spans="1:15" ht="15.75" customHeight="1">
      <c r="A72" s="32" t="s">
        <v>157</v>
      </c>
      <c r="B72" s="32" t="s">
        <v>180</v>
      </c>
      <c r="C72" s="32" t="s">
        <v>121</v>
      </c>
      <c r="D72" s="32" t="s">
        <v>142</v>
      </c>
      <c r="E72" s="32">
        <v>39</v>
      </c>
      <c r="F72" s="32">
        <v>30</v>
      </c>
      <c r="G72" s="32">
        <v>9</v>
      </c>
      <c r="H72" s="36">
        <v>13680</v>
      </c>
      <c r="I72" s="36">
        <v>2660</v>
      </c>
      <c r="J72" s="32">
        <v>35</v>
      </c>
      <c r="K72" s="32">
        <f t="shared" si="0"/>
        <v>4</v>
      </c>
      <c r="L72" s="32">
        <v>35</v>
      </c>
      <c r="M72" s="32">
        <f t="shared" si="1"/>
        <v>0</v>
      </c>
      <c r="N72" s="37">
        <v>43617</v>
      </c>
      <c r="O72" s="32" t="s">
        <v>102</v>
      </c>
    </row>
    <row r="73" spans="1:15" ht="15.75" customHeight="1">
      <c r="A73" s="32" t="s">
        <v>181</v>
      </c>
      <c r="B73" s="32" t="s">
        <v>182</v>
      </c>
      <c r="C73" s="32" t="s">
        <v>100</v>
      </c>
      <c r="D73" s="32" t="s">
        <v>101</v>
      </c>
      <c r="E73" s="32">
        <v>45</v>
      </c>
      <c r="F73" s="32">
        <v>41</v>
      </c>
      <c r="G73" s="32">
        <v>4</v>
      </c>
      <c r="H73" s="36">
        <v>12540</v>
      </c>
      <c r="I73" s="36">
        <v>1520</v>
      </c>
      <c r="J73" s="32">
        <v>44</v>
      </c>
      <c r="K73" s="32">
        <f t="shared" si="0"/>
        <v>1</v>
      </c>
      <c r="L73" s="32">
        <v>43</v>
      </c>
      <c r="M73" s="32">
        <f t="shared" si="1"/>
        <v>1</v>
      </c>
      <c r="N73" s="37">
        <v>44018</v>
      </c>
      <c r="O73" s="32" t="s">
        <v>159</v>
      </c>
    </row>
    <row r="74" spans="1:15" ht="15.75" customHeight="1">
      <c r="A74" s="32" t="s">
        <v>181</v>
      </c>
      <c r="B74" s="32" t="s">
        <v>183</v>
      </c>
      <c r="C74" s="32" t="s">
        <v>100</v>
      </c>
      <c r="D74" s="32" t="s">
        <v>104</v>
      </c>
      <c r="E74" s="32">
        <v>38</v>
      </c>
      <c r="F74" s="32">
        <v>32</v>
      </c>
      <c r="G74" s="32">
        <v>6</v>
      </c>
      <c r="H74" s="36">
        <v>10640</v>
      </c>
      <c r="I74" s="36">
        <v>3040</v>
      </c>
      <c r="J74" s="32">
        <v>35</v>
      </c>
      <c r="K74" s="32">
        <f t="shared" si="0"/>
        <v>3</v>
      </c>
      <c r="L74" s="32">
        <v>34</v>
      </c>
      <c r="M74" s="32">
        <f t="shared" si="1"/>
        <v>1</v>
      </c>
      <c r="N74" s="37">
        <v>43985</v>
      </c>
      <c r="O74" s="32" t="s">
        <v>159</v>
      </c>
    </row>
    <row r="75" spans="1:15" ht="15.75" customHeight="1">
      <c r="A75" s="32" t="s">
        <v>181</v>
      </c>
      <c r="B75" s="32" t="s">
        <v>184</v>
      </c>
      <c r="C75" s="32" t="s">
        <v>100</v>
      </c>
      <c r="D75" s="32" t="s">
        <v>106</v>
      </c>
      <c r="E75" s="32">
        <v>41</v>
      </c>
      <c r="F75" s="32">
        <v>31</v>
      </c>
      <c r="G75" s="32">
        <v>10</v>
      </c>
      <c r="H75" s="36">
        <v>11780</v>
      </c>
      <c r="I75" s="36">
        <v>1900</v>
      </c>
      <c r="J75" s="32">
        <v>39</v>
      </c>
      <c r="K75" s="32">
        <f t="shared" si="0"/>
        <v>2</v>
      </c>
      <c r="L75" s="32">
        <v>31</v>
      </c>
      <c r="M75" s="32">
        <f t="shared" si="1"/>
        <v>8</v>
      </c>
      <c r="N75" s="37">
        <v>43370</v>
      </c>
      <c r="O75" s="32" t="s">
        <v>159</v>
      </c>
    </row>
    <row r="76" spans="1:15" ht="15.75" customHeight="1">
      <c r="A76" s="32" t="s">
        <v>181</v>
      </c>
      <c r="B76" s="32" t="s">
        <v>185</v>
      </c>
      <c r="C76" s="32" t="s">
        <v>100</v>
      </c>
      <c r="D76" s="32" t="s">
        <v>109</v>
      </c>
      <c r="E76" s="32">
        <v>45</v>
      </c>
      <c r="F76" s="32">
        <v>35</v>
      </c>
      <c r="G76" s="32">
        <v>10</v>
      </c>
      <c r="H76" s="36">
        <v>12160</v>
      </c>
      <c r="I76" s="36">
        <v>2280</v>
      </c>
      <c r="J76" s="32">
        <v>44</v>
      </c>
      <c r="K76" s="32">
        <f t="shared" si="0"/>
        <v>1</v>
      </c>
      <c r="L76" s="32">
        <v>43</v>
      </c>
      <c r="M76" s="32">
        <f t="shared" si="1"/>
        <v>1</v>
      </c>
      <c r="N76" s="37">
        <v>44006</v>
      </c>
      <c r="O76" s="32" t="s">
        <v>159</v>
      </c>
    </row>
    <row r="77" spans="1:15" ht="15.75" customHeight="1">
      <c r="A77" s="32" t="s">
        <v>181</v>
      </c>
      <c r="B77" s="32" t="s">
        <v>186</v>
      </c>
      <c r="C77" s="32" t="s">
        <v>100</v>
      </c>
      <c r="D77" s="32" t="s">
        <v>111</v>
      </c>
      <c r="E77" s="32">
        <v>41</v>
      </c>
      <c r="F77" s="32">
        <v>33</v>
      </c>
      <c r="G77" s="32">
        <v>8</v>
      </c>
      <c r="H77" s="36">
        <v>12920</v>
      </c>
      <c r="I77" s="36">
        <v>2280</v>
      </c>
      <c r="J77" s="32">
        <v>39</v>
      </c>
      <c r="K77" s="32">
        <f t="shared" si="0"/>
        <v>2</v>
      </c>
      <c r="L77" s="32">
        <v>39</v>
      </c>
      <c r="M77" s="32">
        <f t="shared" si="1"/>
        <v>0</v>
      </c>
      <c r="N77" s="37">
        <v>43571</v>
      </c>
      <c r="O77" s="32" t="s">
        <v>159</v>
      </c>
    </row>
    <row r="78" spans="1:15" ht="15.75" customHeight="1">
      <c r="A78" s="32" t="s">
        <v>181</v>
      </c>
      <c r="B78" s="32" t="s">
        <v>187</v>
      </c>
      <c r="C78" s="32" t="s">
        <v>100</v>
      </c>
      <c r="D78" s="32" t="s">
        <v>113</v>
      </c>
      <c r="E78" s="32">
        <v>43</v>
      </c>
      <c r="F78" s="32">
        <v>35</v>
      </c>
      <c r="G78" s="32">
        <v>8</v>
      </c>
      <c r="H78" s="36">
        <v>12160</v>
      </c>
      <c r="I78" s="36">
        <v>2280</v>
      </c>
      <c r="J78" s="32">
        <v>43</v>
      </c>
      <c r="K78" s="32">
        <f t="shared" si="0"/>
        <v>0</v>
      </c>
      <c r="L78" s="32">
        <v>42</v>
      </c>
      <c r="M78" s="32">
        <f t="shared" si="1"/>
        <v>1</v>
      </c>
      <c r="N78" s="37">
        <v>43974</v>
      </c>
      <c r="O78" s="32" t="s">
        <v>159</v>
      </c>
    </row>
    <row r="79" spans="1:15" ht="15.75" customHeight="1">
      <c r="A79" s="32" t="s">
        <v>181</v>
      </c>
      <c r="B79" s="32" t="s">
        <v>188</v>
      </c>
      <c r="C79" s="32" t="s">
        <v>100</v>
      </c>
      <c r="D79" s="32" t="s">
        <v>142</v>
      </c>
      <c r="E79" s="32">
        <v>37</v>
      </c>
      <c r="F79" s="32">
        <v>32</v>
      </c>
      <c r="G79" s="32">
        <v>5</v>
      </c>
      <c r="H79" s="36">
        <v>9690</v>
      </c>
      <c r="I79" s="36">
        <v>3420</v>
      </c>
      <c r="J79" s="32">
        <v>31</v>
      </c>
      <c r="K79" s="32">
        <f t="shared" si="0"/>
        <v>6</v>
      </c>
      <c r="L79" s="32">
        <v>26</v>
      </c>
      <c r="M79" s="32">
        <f t="shared" si="1"/>
        <v>5</v>
      </c>
      <c r="N79" s="37">
        <v>43361</v>
      </c>
      <c r="O79" s="32" t="s">
        <v>159</v>
      </c>
    </row>
    <row r="80" spans="1:15" ht="15.75" customHeight="1">
      <c r="A80" s="32" t="s">
        <v>181</v>
      </c>
      <c r="B80" s="32" t="s">
        <v>189</v>
      </c>
      <c r="C80" s="32" t="s">
        <v>121</v>
      </c>
      <c r="D80" s="32" t="s">
        <v>101</v>
      </c>
      <c r="E80" s="32">
        <v>44</v>
      </c>
      <c r="F80" s="32">
        <v>33</v>
      </c>
      <c r="G80" s="32">
        <v>11</v>
      </c>
      <c r="H80" s="36">
        <v>12540</v>
      </c>
      <c r="I80" s="36">
        <v>3040</v>
      </c>
      <c r="J80" s="32">
        <v>37</v>
      </c>
      <c r="K80" s="32">
        <f t="shared" si="0"/>
        <v>7</v>
      </c>
      <c r="L80" s="32">
        <v>37</v>
      </c>
      <c r="M80" s="32">
        <f t="shared" si="1"/>
        <v>0</v>
      </c>
      <c r="N80" s="37">
        <v>43570</v>
      </c>
      <c r="O80" s="32" t="s">
        <v>159</v>
      </c>
    </row>
    <row r="81" spans="1:15" ht="15.75" customHeight="1">
      <c r="A81" s="32" t="s">
        <v>181</v>
      </c>
      <c r="B81" s="32" t="s">
        <v>190</v>
      </c>
      <c r="C81" s="32" t="s">
        <v>121</v>
      </c>
      <c r="D81" s="32" t="s">
        <v>101</v>
      </c>
      <c r="E81" s="32">
        <v>42</v>
      </c>
      <c r="F81" s="32">
        <v>36</v>
      </c>
      <c r="G81" s="32">
        <v>6</v>
      </c>
      <c r="H81" s="36">
        <v>12160</v>
      </c>
      <c r="I81" s="36">
        <v>3800</v>
      </c>
      <c r="J81" s="32">
        <v>40</v>
      </c>
      <c r="K81" s="32">
        <f t="shared" si="0"/>
        <v>2</v>
      </c>
      <c r="L81" s="32">
        <v>38</v>
      </c>
      <c r="M81" s="32">
        <f t="shared" si="1"/>
        <v>2</v>
      </c>
      <c r="N81" s="37">
        <v>43922</v>
      </c>
      <c r="O81" s="32" t="s">
        <v>159</v>
      </c>
    </row>
    <row r="82" spans="1:15" ht="15.75" customHeight="1">
      <c r="A82" s="32" t="s">
        <v>181</v>
      </c>
      <c r="B82" s="32" t="s">
        <v>191</v>
      </c>
      <c r="C82" s="32" t="s">
        <v>121</v>
      </c>
      <c r="D82" s="32" t="s">
        <v>104</v>
      </c>
      <c r="E82" s="32">
        <v>45</v>
      </c>
      <c r="F82" s="32">
        <v>39</v>
      </c>
      <c r="G82" s="32">
        <v>6</v>
      </c>
      <c r="H82" s="36">
        <v>10070</v>
      </c>
      <c r="I82" s="36">
        <v>2660</v>
      </c>
      <c r="J82" s="32">
        <v>37</v>
      </c>
      <c r="K82" s="32">
        <f t="shared" si="0"/>
        <v>8</v>
      </c>
      <c r="L82" s="32">
        <v>31</v>
      </c>
      <c r="M82" s="32">
        <f t="shared" si="1"/>
        <v>6</v>
      </c>
      <c r="N82" s="37">
        <v>44188</v>
      </c>
      <c r="O82" s="32" t="s">
        <v>159</v>
      </c>
    </row>
    <row r="83" spans="1:15" ht="15.75" customHeight="1">
      <c r="A83" s="32" t="s">
        <v>181</v>
      </c>
      <c r="B83" s="32" t="s">
        <v>192</v>
      </c>
      <c r="C83" s="32" t="s">
        <v>121</v>
      </c>
      <c r="D83" s="32" t="s">
        <v>106</v>
      </c>
      <c r="E83" s="32">
        <v>45</v>
      </c>
      <c r="F83" s="32">
        <v>38</v>
      </c>
      <c r="G83" s="32">
        <v>7</v>
      </c>
      <c r="H83" s="36">
        <v>12920</v>
      </c>
      <c r="I83" s="36">
        <v>3800</v>
      </c>
      <c r="J83" s="32">
        <v>42</v>
      </c>
      <c r="K83" s="32">
        <f t="shared" si="0"/>
        <v>3</v>
      </c>
      <c r="L83" s="32">
        <v>37</v>
      </c>
      <c r="M83" s="32">
        <f t="shared" si="1"/>
        <v>5</v>
      </c>
      <c r="N83" s="37">
        <v>43965</v>
      </c>
      <c r="O83" s="32" t="s">
        <v>159</v>
      </c>
    </row>
    <row r="84" spans="1:15" ht="15.75" customHeight="1">
      <c r="A84" s="32" t="s">
        <v>181</v>
      </c>
      <c r="B84" s="32" t="s">
        <v>193</v>
      </c>
      <c r="C84" s="32" t="s">
        <v>121</v>
      </c>
      <c r="D84" s="32" t="s">
        <v>109</v>
      </c>
      <c r="E84" s="32">
        <v>37</v>
      </c>
      <c r="F84" s="32">
        <v>28</v>
      </c>
      <c r="G84" s="32">
        <v>9</v>
      </c>
      <c r="H84" s="36">
        <v>11970</v>
      </c>
      <c r="I84" s="36">
        <v>3800</v>
      </c>
      <c r="J84" s="32">
        <v>32</v>
      </c>
      <c r="K84" s="32">
        <f t="shared" si="0"/>
        <v>5</v>
      </c>
      <c r="L84" s="32">
        <v>30</v>
      </c>
      <c r="M84" s="32">
        <f t="shared" si="1"/>
        <v>2</v>
      </c>
      <c r="N84" s="37">
        <v>44080</v>
      </c>
      <c r="O84" s="32" t="s">
        <v>159</v>
      </c>
    </row>
    <row r="85" spans="1:15" ht="15.75" customHeight="1">
      <c r="A85" s="32" t="s">
        <v>181</v>
      </c>
      <c r="B85" s="32" t="s">
        <v>194</v>
      </c>
      <c r="C85" s="32" t="s">
        <v>121</v>
      </c>
      <c r="D85" s="32" t="s">
        <v>113</v>
      </c>
      <c r="E85" s="32">
        <v>44</v>
      </c>
      <c r="F85" s="32">
        <v>40</v>
      </c>
      <c r="G85" s="32">
        <v>4</v>
      </c>
      <c r="H85" s="36">
        <v>10450</v>
      </c>
      <c r="I85" s="36">
        <v>3040</v>
      </c>
      <c r="J85" s="32">
        <v>39</v>
      </c>
      <c r="K85" s="32">
        <f t="shared" si="0"/>
        <v>5</v>
      </c>
      <c r="L85" s="32">
        <v>39</v>
      </c>
      <c r="M85" s="32">
        <f t="shared" si="1"/>
        <v>0</v>
      </c>
      <c r="N85" s="37">
        <v>43556</v>
      </c>
      <c r="O85" s="32" t="s">
        <v>159</v>
      </c>
    </row>
    <row r="86" spans="1:15" ht="15.75" customHeight="1">
      <c r="A86" s="32" t="s">
        <v>181</v>
      </c>
      <c r="B86" s="32" t="s">
        <v>195</v>
      </c>
      <c r="C86" s="32" t="s">
        <v>121</v>
      </c>
      <c r="D86" s="32" t="s">
        <v>142</v>
      </c>
      <c r="E86" s="32">
        <v>44</v>
      </c>
      <c r="F86" s="32">
        <v>37</v>
      </c>
      <c r="G86" s="32">
        <v>7</v>
      </c>
      <c r="H86" s="36">
        <v>12540</v>
      </c>
      <c r="I86" s="36">
        <v>4180</v>
      </c>
      <c r="J86" s="32">
        <v>39</v>
      </c>
      <c r="K86" s="32">
        <f t="shared" si="0"/>
        <v>5</v>
      </c>
      <c r="L86" s="32">
        <v>33</v>
      </c>
      <c r="M86" s="32">
        <f t="shared" si="1"/>
        <v>6</v>
      </c>
      <c r="N86" s="37">
        <v>43848</v>
      </c>
      <c r="O86" s="32" t="s">
        <v>159</v>
      </c>
    </row>
    <row r="87" spans="1:15" ht="15.75" customHeight="1"/>
    <row r="88" spans="1:15" ht="15.75" customHeight="1"/>
    <row r="89" spans="1:15" ht="15.75" customHeight="1"/>
    <row r="90" spans="1:15" ht="15.75" customHeight="1"/>
    <row r="91" spans="1:15" ht="15.75" customHeight="1"/>
    <row r="92" spans="1:15" ht="15.75" customHeight="1"/>
    <row r="93" spans="1:15" ht="15.75" customHeight="1"/>
    <row r="94" spans="1:15" ht="15.75" customHeight="1"/>
    <row r="95" spans="1:15" ht="15.75" customHeight="1"/>
    <row r="96" spans="1:15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iltro">
                <anchor moveWithCells="1" sizeWithCells="1">
                  <from>
                    <xdr:col>16</xdr:col>
                    <xdr:colOff>66675</xdr:colOff>
                    <xdr:row>0</xdr:row>
                    <xdr:rowOff>85725</xdr:rowOff>
                  </from>
                  <to>
                    <xdr:col>18</xdr:col>
                    <xdr:colOff>190500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00"/>
  <sheetViews>
    <sheetView showGridLines="0" workbookViewId="0"/>
  </sheetViews>
  <sheetFormatPr baseColWidth="10" defaultColWidth="14.42578125" defaultRowHeight="15" customHeight="1"/>
  <cols>
    <col min="1" max="1" width="11.42578125" customWidth="1"/>
    <col min="2" max="2" width="12.28515625" customWidth="1"/>
    <col min="3" max="3" width="14.28515625" customWidth="1"/>
    <col min="4" max="4" width="41.85546875" customWidth="1"/>
    <col min="5" max="5" width="11.42578125" customWidth="1"/>
    <col min="6" max="7" width="12.85546875" customWidth="1"/>
    <col min="8" max="13" width="11.42578125" customWidth="1"/>
    <col min="14" max="26" width="10.7109375" customWidth="1"/>
  </cols>
  <sheetData>
    <row r="1" spans="1:13" ht="26.25">
      <c r="A1" s="38" t="s">
        <v>196</v>
      </c>
      <c r="B1" s="38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</row>
    <row r="2" spans="1:13" ht="23.25">
      <c r="A2" s="40"/>
      <c r="B2" s="41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</row>
    <row r="3" spans="1:13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</row>
    <row r="4" spans="1:13" ht="15.75" customHeight="1">
      <c r="A4" s="43" t="s">
        <v>197</v>
      </c>
      <c r="B4" s="44"/>
      <c r="C4" s="44"/>
      <c r="D4" s="44"/>
      <c r="E4" s="44"/>
      <c r="F4" s="44"/>
      <c r="G4" s="44"/>
      <c r="H4" s="44"/>
      <c r="I4" s="44"/>
      <c r="J4" s="39"/>
      <c r="K4" s="39"/>
      <c r="L4" s="39"/>
      <c r="M4" s="39"/>
    </row>
    <row r="5" spans="1:1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</row>
    <row r="6" spans="1:13" ht="30">
      <c r="A6" s="42"/>
      <c r="B6" s="45" t="s">
        <v>198</v>
      </c>
      <c r="C6" s="45" t="s">
        <v>199</v>
      </c>
      <c r="D6" s="42"/>
      <c r="E6" s="45" t="s">
        <v>198</v>
      </c>
      <c r="F6" s="42"/>
      <c r="G6" s="42"/>
      <c r="I6" s="42"/>
      <c r="J6" s="42"/>
      <c r="K6" s="42"/>
      <c r="L6" s="42"/>
      <c r="M6" s="42"/>
    </row>
    <row r="7" spans="1:13">
      <c r="A7" s="42"/>
      <c r="B7" s="46">
        <v>1</v>
      </c>
      <c r="C7" s="46" t="s">
        <v>200</v>
      </c>
      <c r="D7" s="42"/>
      <c r="E7" s="47">
        <v>1</v>
      </c>
      <c r="F7" s="42"/>
      <c r="G7" s="42"/>
      <c r="I7" s="42"/>
      <c r="J7" s="42"/>
      <c r="K7" s="42"/>
      <c r="L7" s="42"/>
      <c r="M7" s="42"/>
    </row>
    <row r="8" spans="1:13">
      <c r="A8" s="42"/>
      <c r="B8" s="47">
        <v>2</v>
      </c>
      <c r="C8" s="47" t="s">
        <v>102</v>
      </c>
      <c r="D8" s="42"/>
      <c r="E8" s="42"/>
      <c r="F8" s="42"/>
      <c r="G8" s="42"/>
      <c r="H8" s="42"/>
      <c r="I8" s="42"/>
      <c r="J8" s="42"/>
      <c r="K8" s="42"/>
      <c r="L8" s="42"/>
      <c r="M8" s="42"/>
    </row>
    <row r="9" spans="1:13">
      <c r="A9" s="42"/>
      <c r="B9" s="46">
        <v>3</v>
      </c>
      <c r="C9" s="46" t="s">
        <v>122</v>
      </c>
      <c r="D9" s="42"/>
      <c r="E9" s="42"/>
      <c r="F9" s="42"/>
      <c r="G9" s="42"/>
      <c r="H9" s="42"/>
      <c r="I9" s="42"/>
      <c r="J9" s="42"/>
      <c r="K9" s="42"/>
      <c r="L9" s="42"/>
      <c r="M9" s="42"/>
    </row>
    <row r="10" spans="1:13">
      <c r="A10" s="42"/>
      <c r="B10" s="47">
        <v>4</v>
      </c>
      <c r="C10" s="47" t="s">
        <v>201</v>
      </c>
      <c r="D10" s="42"/>
      <c r="E10" s="42"/>
      <c r="F10" s="42"/>
      <c r="G10" s="42"/>
      <c r="H10" s="42"/>
      <c r="I10" s="42"/>
      <c r="J10" s="42"/>
      <c r="K10" s="42"/>
      <c r="L10" s="42"/>
      <c r="M10" s="42"/>
    </row>
    <row r="11" spans="1:13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</row>
    <row r="12" spans="1:13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</row>
    <row r="13" spans="1:1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</row>
    <row r="14" spans="1:13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</row>
    <row r="15" spans="1:13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</row>
    <row r="16" spans="1:13" ht="23.25">
      <c r="A16" s="42"/>
      <c r="B16" s="48" t="str">
        <f>IFERROR("Ventas en el área "&amp;VLOOKUP(E7,B7:C10,2,0),"Ventas por área")</f>
        <v>Ventas en el área Callao</v>
      </c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</row>
    <row r="17" spans="2:13">
      <c r="B17" s="49"/>
      <c r="C17" s="50"/>
      <c r="D17" s="50"/>
      <c r="E17" s="50"/>
      <c r="F17" s="50"/>
      <c r="G17" s="51"/>
      <c r="H17" s="52"/>
      <c r="I17" s="51"/>
      <c r="J17" s="42"/>
      <c r="K17" s="42"/>
      <c r="M17" s="42"/>
    </row>
    <row r="18" spans="2:13" ht="30">
      <c r="B18" s="45" t="s">
        <v>202</v>
      </c>
      <c r="C18" s="45" t="s">
        <v>203</v>
      </c>
      <c r="D18" s="53" t="s">
        <v>204</v>
      </c>
      <c r="E18" s="45" t="s">
        <v>198</v>
      </c>
      <c r="F18" s="45" t="s">
        <v>199</v>
      </c>
      <c r="G18" s="45" t="s">
        <v>205</v>
      </c>
      <c r="K18" s="42"/>
      <c r="L18" s="42"/>
      <c r="M18" s="42"/>
    </row>
    <row r="19" spans="2:13">
      <c r="B19" s="47" t="s">
        <v>206</v>
      </c>
      <c r="C19" s="47">
        <v>24280596</v>
      </c>
      <c r="D19" s="54" t="s">
        <v>207</v>
      </c>
      <c r="E19" s="47">
        <v>4</v>
      </c>
      <c r="F19" s="55" t="s">
        <v>201</v>
      </c>
      <c r="G19" s="56">
        <v>79486.400685322995</v>
      </c>
      <c r="K19" s="42"/>
      <c r="L19" s="42"/>
      <c r="M19" s="42"/>
    </row>
    <row r="20" spans="2:13">
      <c r="B20" s="46" t="s">
        <v>208</v>
      </c>
      <c r="C20" s="46">
        <v>28657286</v>
      </c>
      <c r="D20" s="57" t="s">
        <v>209</v>
      </c>
      <c r="E20" s="46">
        <v>4</v>
      </c>
      <c r="F20" s="58" t="s">
        <v>201</v>
      </c>
      <c r="G20" s="59">
        <v>75030.56464762571</v>
      </c>
      <c r="K20" s="42"/>
      <c r="L20" s="42"/>
      <c r="M20" s="42"/>
    </row>
    <row r="21" spans="2:13" ht="15.75" customHeight="1">
      <c r="B21" s="47" t="s">
        <v>210</v>
      </c>
      <c r="C21" s="47">
        <v>28245681</v>
      </c>
      <c r="D21" s="54" t="s">
        <v>211</v>
      </c>
      <c r="E21" s="47">
        <v>2</v>
      </c>
      <c r="F21" s="55" t="s">
        <v>102</v>
      </c>
      <c r="G21" s="56">
        <v>53959.091686651169</v>
      </c>
      <c r="K21" s="42"/>
      <c r="L21" s="42"/>
      <c r="M21" s="42"/>
    </row>
    <row r="22" spans="2:13" ht="15.75" customHeight="1">
      <c r="B22" s="46" t="s">
        <v>212</v>
      </c>
      <c r="C22" s="46">
        <v>24280596</v>
      </c>
      <c r="D22" s="57" t="s">
        <v>213</v>
      </c>
      <c r="E22" s="46">
        <v>4</v>
      </c>
      <c r="F22" s="58" t="s">
        <v>201</v>
      </c>
      <c r="G22" s="59">
        <v>26041.931823077321</v>
      </c>
      <c r="K22" s="42"/>
      <c r="L22" s="42"/>
      <c r="M22" s="42"/>
    </row>
    <row r="23" spans="2:13" ht="15.75" customHeight="1">
      <c r="B23" s="47" t="s">
        <v>214</v>
      </c>
      <c r="C23" s="47">
        <v>21995443</v>
      </c>
      <c r="D23" s="54" t="s">
        <v>215</v>
      </c>
      <c r="E23" s="47">
        <v>4</v>
      </c>
      <c r="F23" s="55" t="s">
        <v>201</v>
      </c>
      <c r="G23" s="56">
        <v>71031.168830402938</v>
      </c>
      <c r="K23" s="42"/>
      <c r="L23" s="42"/>
      <c r="M23" s="42"/>
    </row>
    <row r="24" spans="2:13" ht="15.75" customHeight="1">
      <c r="B24" s="46" t="s">
        <v>216</v>
      </c>
      <c r="C24" s="46">
        <v>26168784</v>
      </c>
      <c r="D24" s="57" t="s">
        <v>217</v>
      </c>
      <c r="E24" s="46">
        <v>1</v>
      </c>
      <c r="F24" s="58" t="s">
        <v>200</v>
      </c>
      <c r="G24" s="59">
        <v>28319.132691948944</v>
      </c>
      <c r="K24" s="42"/>
      <c r="L24" s="42"/>
      <c r="M24" s="42"/>
    </row>
    <row r="25" spans="2:13" ht="15.75" customHeight="1">
      <c r="B25" s="47" t="s">
        <v>218</v>
      </c>
      <c r="C25" s="47">
        <v>24923246</v>
      </c>
      <c r="D25" s="54" t="s">
        <v>219</v>
      </c>
      <c r="E25" s="47">
        <v>1</v>
      </c>
      <c r="F25" s="55" t="s">
        <v>200</v>
      </c>
      <c r="G25" s="56">
        <v>78219.835520803346</v>
      </c>
      <c r="K25" s="42"/>
      <c r="L25" s="42"/>
      <c r="M25" s="42"/>
    </row>
    <row r="26" spans="2:13" ht="15.75" customHeight="1">
      <c r="B26" s="46" t="s">
        <v>220</v>
      </c>
      <c r="C26" s="46">
        <v>25406160</v>
      </c>
      <c r="D26" s="57" t="s">
        <v>221</v>
      </c>
      <c r="E26" s="46">
        <v>3</v>
      </c>
      <c r="F26" s="58" t="s">
        <v>122</v>
      </c>
      <c r="G26" s="59">
        <v>51826.989134307296</v>
      </c>
      <c r="K26" s="42"/>
      <c r="L26" s="42"/>
      <c r="M26" s="42"/>
    </row>
    <row r="27" spans="2:13" ht="15.75" customHeight="1">
      <c r="B27" s="47" t="s">
        <v>222</v>
      </c>
      <c r="C27" s="47">
        <v>25167618</v>
      </c>
      <c r="D27" s="54" t="s">
        <v>223</v>
      </c>
      <c r="E27" s="47">
        <v>4</v>
      </c>
      <c r="F27" s="55" t="s">
        <v>201</v>
      </c>
      <c r="G27" s="56">
        <v>63428.627195188565</v>
      </c>
      <c r="K27" s="42"/>
      <c r="L27" s="42"/>
      <c r="M27" s="42"/>
    </row>
    <row r="28" spans="2:13" ht="15.75" customHeight="1">
      <c r="B28" s="46" t="s">
        <v>224</v>
      </c>
      <c r="C28" s="46">
        <v>23653584</v>
      </c>
      <c r="D28" s="57" t="s">
        <v>225</v>
      </c>
      <c r="E28" s="46">
        <v>4</v>
      </c>
      <c r="F28" s="58" t="s">
        <v>201</v>
      </c>
      <c r="G28" s="59">
        <v>38744.273413948751</v>
      </c>
      <c r="K28" s="42"/>
      <c r="L28" s="42"/>
      <c r="M28" s="42"/>
    </row>
    <row r="29" spans="2:13" ht="15.75" customHeight="1">
      <c r="B29" s="47" t="s">
        <v>226</v>
      </c>
      <c r="C29" s="47">
        <v>25954763</v>
      </c>
      <c r="D29" s="54" t="s">
        <v>227</v>
      </c>
      <c r="E29" s="47">
        <v>3</v>
      </c>
      <c r="F29" s="55" t="s">
        <v>122</v>
      </c>
      <c r="G29" s="56">
        <v>34776.860162547891</v>
      </c>
      <c r="K29" s="42"/>
      <c r="L29" s="42"/>
      <c r="M29" s="42"/>
    </row>
    <row r="30" spans="2:13" ht="15.75" customHeight="1">
      <c r="B30" s="46" t="s">
        <v>228</v>
      </c>
      <c r="C30" s="46">
        <v>27982098</v>
      </c>
      <c r="D30" s="57" t="s">
        <v>229</v>
      </c>
      <c r="E30" s="46">
        <v>3</v>
      </c>
      <c r="F30" s="58" t="s">
        <v>122</v>
      </c>
      <c r="G30" s="59">
        <v>66359.961446600995</v>
      </c>
      <c r="K30" s="42"/>
      <c r="L30" s="42"/>
      <c r="M30" s="42"/>
    </row>
    <row r="31" spans="2:13" ht="15.75" customHeight="1">
      <c r="B31" s="47" t="s">
        <v>230</v>
      </c>
      <c r="C31" s="47">
        <v>27898734</v>
      </c>
      <c r="D31" s="54" t="s">
        <v>231</v>
      </c>
      <c r="E31" s="47">
        <v>3</v>
      </c>
      <c r="F31" s="55" t="s">
        <v>122</v>
      </c>
      <c r="G31" s="56">
        <v>41955.264962751753</v>
      </c>
      <c r="K31" s="42"/>
      <c r="L31" s="42"/>
      <c r="M31" s="42"/>
    </row>
    <row r="32" spans="2:13" ht="15.75" customHeight="1">
      <c r="B32" s="46" t="s">
        <v>232</v>
      </c>
      <c r="C32" s="46">
        <v>24280596</v>
      </c>
      <c r="D32" s="57" t="s">
        <v>233</v>
      </c>
      <c r="E32" s="46">
        <v>2</v>
      </c>
      <c r="F32" s="58" t="s">
        <v>102</v>
      </c>
      <c r="G32" s="59">
        <v>32385.727027827168</v>
      </c>
      <c r="K32" s="42"/>
      <c r="L32" s="42"/>
      <c r="M32" s="42"/>
    </row>
    <row r="33" spans="2:13" ht="15.75" customHeight="1">
      <c r="B33" s="47" t="s">
        <v>234</v>
      </c>
      <c r="C33" s="47">
        <v>24935872</v>
      </c>
      <c r="D33" s="54" t="s">
        <v>235</v>
      </c>
      <c r="E33" s="47">
        <v>2</v>
      </c>
      <c r="F33" s="55" t="s">
        <v>102</v>
      </c>
      <c r="G33" s="56">
        <v>31711.081378093659</v>
      </c>
      <c r="K33" s="42"/>
      <c r="L33" s="42"/>
      <c r="M33" s="42"/>
    </row>
    <row r="34" spans="2:13" ht="15.75" customHeight="1">
      <c r="B34" s="46" t="s">
        <v>236</v>
      </c>
      <c r="C34" s="46">
        <v>23278973</v>
      </c>
      <c r="D34" s="57" t="s">
        <v>237</v>
      </c>
      <c r="E34" s="46">
        <v>1</v>
      </c>
      <c r="F34" s="58" t="s">
        <v>200</v>
      </c>
      <c r="G34" s="59">
        <v>48197.54657962505</v>
      </c>
      <c r="K34" s="42"/>
      <c r="L34" s="42"/>
      <c r="M34" s="42"/>
    </row>
    <row r="35" spans="2:13" ht="15.75" customHeight="1">
      <c r="B35" s="47" t="s">
        <v>238</v>
      </c>
      <c r="C35" s="47">
        <v>24414743</v>
      </c>
      <c r="D35" s="54" t="s">
        <v>239</v>
      </c>
      <c r="E35" s="47">
        <v>4</v>
      </c>
      <c r="F35" s="55" t="s">
        <v>201</v>
      </c>
      <c r="G35" s="56">
        <v>21635.164334289009</v>
      </c>
      <c r="K35" s="42"/>
      <c r="L35" s="42"/>
      <c r="M35" s="42"/>
    </row>
    <row r="36" spans="2:13" ht="15.75" customHeight="1">
      <c r="B36" s="46" t="s">
        <v>240</v>
      </c>
      <c r="C36" s="46">
        <v>21923395</v>
      </c>
      <c r="D36" s="57" t="s">
        <v>241</v>
      </c>
      <c r="E36" s="46">
        <v>3</v>
      </c>
      <c r="F36" s="58" t="s">
        <v>122</v>
      </c>
      <c r="G36" s="59">
        <v>64557.247833431575</v>
      </c>
      <c r="K36" s="42"/>
      <c r="L36" s="42"/>
      <c r="M36" s="42"/>
    </row>
    <row r="37" spans="2:13" ht="15.75" customHeight="1">
      <c r="B37" s="47" t="s">
        <v>242</v>
      </c>
      <c r="C37" s="47">
        <v>21385102</v>
      </c>
      <c r="D37" s="54" t="s">
        <v>243</v>
      </c>
      <c r="E37" s="47">
        <v>3</v>
      </c>
      <c r="F37" s="55" t="s">
        <v>122</v>
      </c>
      <c r="G37" s="56">
        <v>61955.844717610104</v>
      </c>
      <c r="K37" s="42"/>
      <c r="L37" s="42"/>
      <c r="M37" s="42"/>
    </row>
    <row r="38" spans="2:13" ht="15.75" customHeight="1">
      <c r="B38" s="46" t="s">
        <v>244</v>
      </c>
      <c r="C38" s="46">
        <v>24280596</v>
      </c>
      <c r="D38" s="57" t="s">
        <v>245</v>
      </c>
      <c r="E38" s="46">
        <v>4</v>
      </c>
      <c r="F38" s="58" t="s">
        <v>201</v>
      </c>
      <c r="G38" s="59">
        <v>64864.294458331206</v>
      </c>
      <c r="K38" s="42"/>
      <c r="L38" s="42"/>
      <c r="M38" s="42"/>
    </row>
    <row r="39" spans="2:13" ht="15.75" customHeight="1">
      <c r="B39" s="47" t="s">
        <v>246</v>
      </c>
      <c r="C39" s="47">
        <v>24280596</v>
      </c>
      <c r="D39" s="54" t="s">
        <v>247</v>
      </c>
      <c r="E39" s="47">
        <v>2</v>
      </c>
      <c r="F39" s="55" t="s">
        <v>102</v>
      </c>
      <c r="G39" s="56">
        <v>78011.471481236978</v>
      </c>
      <c r="K39" s="42"/>
      <c r="L39" s="42"/>
      <c r="M39" s="42"/>
    </row>
    <row r="40" spans="2:13" ht="15.75" customHeight="1">
      <c r="B40" s="46" t="s">
        <v>248</v>
      </c>
      <c r="C40" s="46">
        <v>21334059</v>
      </c>
      <c r="D40" s="57" t="s">
        <v>249</v>
      </c>
      <c r="E40" s="46">
        <v>2</v>
      </c>
      <c r="F40" s="58" t="s">
        <v>102</v>
      </c>
      <c r="G40" s="59">
        <v>23959.293602340727</v>
      </c>
      <c r="K40" s="42"/>
      <c r="L40" s="42"/>
      <c r="M40" s="42"/>
    </row>
    <row r="41" spans="2:13" ht="15.75" customHeight="1">
      <c r="B41" s="47" t="s">
        <v>250</v>
      </c>
      <c r="C41" s="47">
        <v>24225851</v>
      </c>
      <c r="D41" s="54" t="s">
        <v>251</v>
      </c>
      <c r="E41" s="47">
        <v>3</v>
      </c>
      <c r="F41" s="55" t="s">
        <v>122</v>
      </c>
      <c r="G41" s="56">
        <v>34149.478455028649</v>
      </c>
      <c r="K41" s="42"/>
      <c r="L41" s="42"/>
      <c r="M41" s="42"/>
    </row>
    <row r="42" spans="2:13" ht="15.75" customHeight="1">
      <c r="B42" s="60" t="s">
        <v>252</v>
      </c>
      <c r="C42" s="60">
        <v>26021590</v>
      </c>
      <c r="D42" s="61" t="s">
        <v>253</v>
      </c>
      <c r="E42" s="60">
        <v>4</v>
      </c>
      <c r="F42" s="62" t="s">
        <v>201</v>
      </c>
      <c r="G42" s="59">
        <v>29588.10682911312</v>
      </c>
      <c r="K42" s="42"/>
      <c r="L42" s="42"/>
      <c r="M42" s="42"/>
    </row>
    <row r="43" spans="2:13" ht="15.75" customHeight="1">
      <c r="K43" s="42"/>
      <c r="L43" s="42"/>
      <c r="M43" s="42"/>
    </row>
    <row r="44" spans="2:13" ht="15.75" customHeight="1"/>
    <row r="45" spans="2:13" ht="15.75" customHeight="1"/>
    <row r="46" spans="2:13" ht="15.75" customHeight="1"/>
    <row r="47" spans="2:13" ht="15.75" customHeight="1"/>
    <row r="48" spans="2:13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000"/>
  <sheetViews>
    <sheetView workbookViewId="0"/>
  </sheetViews>
  <sheetFormatPr baseColWidth="10" defaultColWidth="14.42578125" defaultRowHeight="15" customHeight="1"/>
  <cols>
    <col min="1" max="1" width="13.7109375" customWidth="1"/>
    <col min="2" max="2" width="20.7109375" customWidth="1"/>
    <col min="3" max="3" width="13.85546875" customWidth="1"/>
    <col min="4" max="4" width="19.28515625" customWidth="1"/>
    <col min="5" max="5" width="16.140625" customWidth="1"/>
    <col min="6" max="6" width="10.7109375" customWidth="1"/>
    <col min="7" max="7" width="13.85546875" customWidth="1"/>
    <col min="8" max="8" width="11.140625" customWidth="1"/>
    <col min="9" max="10" width="10.7109375" customWidth="1"/>
    <col min="11" max="11" width="13.42578125" customWidth="1"/>
    <col min="12" max="13" width="10.7109375" customWidth="1"/>
    <col min="14" max="14" width="13" customWidth="1"/>
    <col min="15" max="26" width="10.7109375" customWidth="1"/>
  </cols>
  <sheetData>
    <row r="1" spans="1:14" ht="25.5">
      <c r="A1" s="63" t="s">
        <v>254</v>
      </c>
      <c r="B1" s="63" t="s">
        <v>255</v>
      </c>
      <c r="C1" s="63" t="s">
        <v>256</v>
      </c>
      <c r="D1" s="63" t="s">
        <v>257</v>
      </c>
      <c r="E1" s="64" t="s">
        <v>258</v>
      </c>
      <c r="G1" s="83" t="s">
        <v>259</v>
      </c>
      <c r="H1" s="84"/>
      <c r="I1" s="85"/>
      <c r="K1" s="67" t="s">
        <v>260</v>
      </c>
      <c r="L1" s="68"/>
      <c r="M1" s="68"/>
      <c r="N1" s="69"/>
    </row>
    <row r="2" spans="1:14" ht="15.75" customHeight="1">
      <c r="A2" s="65">
        <v>1968</v>
      </c>
      <c r="B2" s="65" t="s">
        <v>261</v>
      </c>
      <c r="C2" s="65" t="s">
        <v>262</v>
      </c>
      <c r="D2" s="65" t="s">
        <v>263</v>
      </c>
      <c r="E2" s="66">
        <v>3200000</v>
      </c>
      <c r="G2" s="63" t="s">
        <v>256</v>
      </c>
      <c r="H2" s="63" t="s">
        <v>53</v>
      </c>
      <c r="I2" s="63" t="s">
        <v>264</v>
      </c>
      <c r="K2" s="86" t="s">
        <v>265</v>
      </c>
      <c r="L2" s="71"/>
      <c r="M2" s="71"/>
      <c r="N2" s="72"/>
    </row>
    <row r="3" spans="1:14" ht="15.75" customHeight="1">
      <c r="A3" s="65">
        <v>1674</v>
      </c>
      <c r="B3" s="65" t="s">
        <v>266</v>
      </c>
      <c r="C3" s="65" t="s">
        <v>262</v>
      </c>
      <c r="D3" s="65" t="s">
        <v>267</v>
      </c>
      <c r="E3" s="66">
        <v>3200000</v>
      </c>
      <c r="G3" s="65" t="s">
        <v>262</v>
      </c>
      <c r="H3" s="65" t="s">
        <v>268</v>
      </c>
      <c r="I3" s="65"/>
      <c r="K3" s="87"/>
      <c r="L3" s="71"/>
      <c r="M3" s="71"/>
      <c r="N3" s="72"/>
    </row>
    <row r="4" spans="1:14" ht="15.75">
      <c r="A4" s="65">
        <v>1516</v>
      </c>
      <c r="B4" s="65" t="s">
        <v>269</v>
      </c>
      <c r="C4" s="65" t="s">
        <v>262</v>
      </c>
      <c r="D4" s="65" t="s">
        <v>267</v>
      </c>
      <c r="E4" s="66">
        <v>4500000</v>
      </c>
      <c r="G4" s="65" t="s">
        <v>270</v>
      </c>
      <c r="H4" s="65" t="s">
        <v>271</v>
      </c>
      <c r="I4" s="65"/>
      <c r="K4" s="70" t="s">
        <v>272</v>
      </c>
      <c r="L4" s="71"/>
      <c r="M4" s="71"/>
      <c r="N4" s="72"/>
    </row>
    <row r="5" spans="1:14">
      <c r="A5" s="65">
        <v>1330</v>
      </c>
      <c r="B5" s="65" t="s">
        <v>273</v>
      </c>
      <c r="C5" s="65" t="s">
        <v>262</v>
      </c>
      <c r="D5" s="65" t="s">
        <v>267</v>
      </c>
      <c r="E5" s="66">
        <v>3200000</v>
      </c>
      <c r="G5" s="65" t="s">
        <v>274</v>
      </c>
      <c r="H5" s="65" t="s">
        <v>275</v>
      </c>
      <c r="I5" s="65"/>
      <c r="K5" s="88" t="s">
        <v>276</v>
      </c>
      <c r="L5" s="71"/>
      <c r="M5" s="71"/>
      <c r="N5" s="72"/>
    </row>
    <row r="6" spans="1:14">
      <c r="A6" s="65">
        <v>1657</v>
      </c>
      <c r="B6" s="65" t="s">
        <v>277</v>
      </c>
      <c r="C6" s="65" t="s">
        <v>262</v>
      </c>
      <c r="D6" s="65" t="s">
        <v>267</v>
      </c>
      <c r="E6" s="66">
        <v>3200000</v>
      </c>
      <c r="G6" s="65" t="s">
        <v>278</v>
      </c>
      <c r="H6" s="65" t="s">
        <v>279</v>
      </c>
      <c r="I6" s="65"/>
      <c r="K6" s="88" t="s">
        <v>280</v>
      </c>
      <c r="L6" s="71"/>
      <c r="M6" s="71"/>
      <c r="N6" s="72"/>
    </row>
    <row r="7" spans="1:14">
      <c r="A7" s="65">
        <v>1573</v>
      </c>
      <c r="B7" s="65" t="s">
        <v>281</v>
      </c>
      <c r="C7" s="65" t="s">
        <v>262</v>
      </c>
      <c r="D7" s="65" t="s">
        <v>282</v>
      </c>
      <c r="E7" s="66">
        <v>1500000</v>
      </c>
      <c r="G7" s="65" t="s">
        <v>283</v>
      </c>
      <c r="H7" s="65" t="s">
        <v>284</v>
      </c>
      <c r="I7" s="65"/>
      <c r="K7" s="88" t="s">
        <v>285</v>
      </c>
      <c r="L7" s="71"/>
      <c r="M7" s="71"/>
      <c r="N7" s="72"/>
    </row>
    <row r="8" spans="1:14" ht="15.75">
      <c r="A8" s="65">
        <v>1658</v>
      </c>
      <c r="B8" s="65" t="s">
        <v>286</v>
      </c>
      <c r="C8" s="65" t="s">
        <v>262</v>
      </c>
      <c r="D8" s="65" t="s">
        <v>267</v>
      </c>
      <c r="E8" s="66">
        <v>3200000</v>
      </c>
      <c r="G8" s="65" t="s">
        <v>287</v>
      </c>
      <c r="H8" s="65" t="s">
        <v>288</v>
      </c>
      <c r="I8" s="65"/>
      <c r="K8" s="80" t="s">
        <v>289</v>
      </c>
      <c r="L8" s="74"/>
      <c r="M8" s="74"/>
      <c r="N8" s="75"/>
    </row>
    <row r="9" spans="1:14">
      <c r="A9" s="65">
        <v>1078</v>
      </c>
      <c r="B9" s="65" t="s">
        <v>290</v>
      </c>
      <c r="C9" s="65" t="s">
        <v>270</v>
      </c>
      <c r="D9" s="65" t="s">
        <v>263</v>
      </c>
      <c r="E9" s="66">
        <v>4200000</v>
      </c>
      <c r="G9" s="65" t="s">
        <v>291</v>
      </c>
      <c r="H9" s="65" t="s">
        <v>292</v>
      </c>
      <c r="I9" s="65"/>
    </row>
    <row r="10" spans="1:14">
      <c r="A10" s="65">
        <v>1695</v>
      </c>
      <c r="B10" s="65" t="s">
        <v>293</v>
      </c>
      <c r="C10" s="65" t="s">
        <v>270</v>
      </c>
      <c r="D10" s="65" t="s">
        <v>267</v>
      </c>
      <c r="E10" s="66">
        <v>3200000</v>
      </c>
    </row>
    <row r="11" spans="1:14" ht="15.75">
      <c r="A11" s="65">
        <v>1285</v>
      </c>
      <c r="B11" s="65" t="s">
        <v>294</v>
      </c>
      <c r="C11" s="65" t="s">
        <v>270</v>
      </c>
      <c r="D11" s="65" t="s">
        <v>267</v>
      </c>
      <c r="E11" s="66">
        <v>3200000</v>
      </c>
      <c r="G11" s="81" t="s">
        <v>295</v>
      </c>
      <c r="H11" s="82"/>
    </row>
    <row r="12" spans="1:14">
      <c r="A12" s="65">
        <v>1284</v>
      </c>
      <c r="B12" s="65" t="s">
        <v>296</v>
      </c>
      <c r="C12" s="65" t="s">
        <v>270</v>
      </c>
      <c r="D12" s="65" t="s">
        <v>267</v>
      </c>
      <c r="E12" s="66">
        <v>3200000</v>
      </c>
      <c r="G12" s="63" t="s">
        <v>297</v>
      </c>
      <c r="H12" s="63" t="s">
        <v>298</v>
      </c>
    </row>
    <row r="13" spans="1:14">
      <c r="A13" s="65">
        <v>1517</v>
      </c>
      <c r="B13" s="65" t="s">
        <v>299</v>
      </c>
      <c r="C13" s="65" t="s">
        <v>270</v>
      </c>
      <c r="D13" s="65" t="s">
        <v>282</v>
      </c>
      <c r="E13" s="66">
        <v>1500000</v>
      </c>
      <c r="G13" s="65" t="s">
        <v>300</v>
      </c>
      <c r="H13" s="65"/>
    </row>
    <row r="14" spans="1:14">
      <c r="A14" s="65">
        <v>1674</v>
      </c>
      <c r="B14" s="65" t="s">
        <v>301</v>
      </c>
      <c r="C14" s="65" t="s">
        <v>270</v>
      </c>
      <c r="D14" s="65" t="s">
        <v>267</v>
      </c>
      <c r="E14" s="66">
        <v>3200000</v>
      </c>
      <c r="G14" s="65" t="s">
        <v>302</v>
      </c>
      <c r="H14" s="65"/>
    </row>
    <row r="15" spans="1:14">
      <c r="A15" s="65">
        <v>1056</v>
      </c>
      <c r="B15" s="65" t="s">
        <v>303</v>
      </c>
      <c r="C15" s="65" t="s">
        <v>274</v>
      </c>
      <c r="D15" s="65" t="s">
        <v>263</v>
      </c>
      <c r="E15" s="66">
        <v>5600000</v>
      </c>
      <c r="G15" s="65" t="s">
        <v>304</v>
      </c>
      <c r="H15" s="65"/>
    </row>
    <row r="16" spans="1:14">
      <c r="A16" s="65">
        <v>1977</v>
      </c>
      <c r="B16" s="65" t="s">
        <v>305</v>
      </c>
      <c r="C16" s="65" t="s">
        <v>274</v>
      </c>
      <c r="D16" s="65" t="s">
        <v>267</v>
      </c>
      <c r="E16" s="66">
        <v>4200000</v>
      </c>
      <c r="G16" s="65" t="s">
        <v>306</v>
      </c>
      <c r="H16" s="65"/>
    </row>
    <row r="17" spans="1:8">
      <c r="A17" s="65">
        <v>1725</v>
      </c>
      <c r="B17" s="65" t="s">
        <v>307</v>
      </c>
      <c r="C17" s="65" t="s">
        <v>274</v>
      </c>
      <c r="D17" s="65" t="s">
        <v>267</v>
      </c>
      <c r="E17" s="66">
        <v>5600000</v>
      </c>
      <c r="G17" s="65" t="s">
        <v>308</v>
      </c>
      <c r="H17" s="65"/>
    </row>
    <row r="18" spans="1:8">
      <c r="A18" s="65">
        <v>1675</v>
      </c>
      <c r="B18" s="65" t="s">
        <v>309</v>
      </c>
      <c r="C18" s="65" t="s">
        <v>274</v>
      </c>
      <c r="D18" s="65" t="s">
        <v>267</v>
      </c>
      <c r="E18" s="66">
        <v>6500000</v>
      </c>
      <c r="G18" s="65" t="s">
        <v>310</v>
      </c>
      <c r="H18" s="65"/>
    </row>
    <row r="19" spans="1:8">
      <c r="A19" s="65">
        <v>1968</v>
      </c>
      <c r="B19" s="65" t="s">
        <v>311</v>
      </c>
      <c r="C19" s="65" t="s">
        <v>274</v>
      </c>
      <c r="D19" s="65" t="s">
        <v>267</v>
      </c>
      <c r="E19" s="66">
        <v>3200000</v>
      </c>
    </row>
    <row r="20" spans="1:8">
      <c r="A20" s="65">
        <v>1723</v>
      </c>
      <c r="B20" s="65" t="s">
        <v>312</v>
      </c>
      <c r="C20" s="65" t="s">
        <v>278</v>
      </c>
      <c r="D20" s="65" t="s">
        <v>282</v>
      </c>
      <c r="E20" s="66">
        <v>1350000</v>
      </c>
    </row>
    <row r="21" spans="1:8" ht="15.75" customHeight="1">
      <c r="A21" s="65">
        <v>1076</v>
      </c>
      <c r="B21" s="65" t="s">
        <v>313</v>
      </c>
      <c r="C21" s="65" t="s">
        <v>278</v>
      </c>
      <c r="D21" s="65" t="s">
        <v>282</v>
      </c>
      <c r="E21" s="66">
        <v>1200000</v>
      </c>
    </row>
    <row r="22" spans="1:8" ht="15.75" customHeight="1">
      <c r="A22" s="65">
        <v>1816</v>
      </c>
      <c r="B22" s="65" t="s">
        <v>314</v>
      </c>
      <c r="C22" s="65" t="s">
        <v>278</v>
      </c>
      <c r="D22" s="65" t="s">
        <v>282</v>
      </c>
      <c r="E22" s="66">
        <v>1600000</v>
      </c>
    </row>
    <row r="23" spans="1:8" ht="15.75" customHeight="1">
      <c r="A23" s="65">
        <v>1154</v>
      </c>
      <c r="B23" s="65" t="s">
        <v>315</v>
      </c>
      <c r="C23" s="65" t="s">
        <v>278</v>
      </c>
      <c r="D23" s="65" t="s">
        <v>263</v>
      </c>
      <c r="E23" s="66">
        <v>4100000</v>
      </c>
    </row>
    <row r="24" spans="1:8" ht="15.75" customHeight="1">
      <c r="A24" s="65">
        <v>1294</v>
      </c>
      <c r="B24" s="65" t="s">
        <v>316</v>
      </c>
      <c r="C24" s="65" t="s">
        <v>278</v>
      </c>
      <c r="D24" s="65" t="s">
        <v>267</v>
      </c>
      <c r="E24" s="66">
        <v>3200000</v>
      </c>
    </row>
    <row r="25" spans="1:8" ht="15.75" customHeight="1">
      <c r="A25" s="65">
        <v>1428</v>
      </c>
      <c r="B25" s="65" t="s">
        <v>317</v>
      </c>
      <c r="C25" s="65" t="s">
        <v>278</v>
      </c>
      <c r="D25" s="65" t="s">
        <v>267</v>
      </c>
      <c r="E25" s="66">
        <v>3200000</v>
      </c>
    </row>
    <row r="26" spans="1:8" ht="15.75" customHeight="1">
      <c r="A26" s="65">
        <v>1814</v>
      </c>
      <c r="B26" s="65" t="s">
        <v>318</v>
      </c>
      <c r="C26" s="65" t="s">
        <v>278</v>
      </c>
      <c r="D26" s="65" t="s">
        <v>267</v>
      </c>
      <c r="E26" s="66">
        <v>3200000</v>
      </c>
    </row>
    <row r="27" spans="1:8" ht="15.75" customHeight="1">
      <c r="A27" s="65">
        <v>1978</v>
      </c>
      <c r="B27" s="65" t="s">
        <v>319</v>
      </c>
      <c r="C27" s="65" t="s">
        <v>278</v>
      </c>
      <c r="D27" s="65" t="s">
        <v>267</v>
      </c>
      <c r="E27" s="66">
        <v>3200000</v>
      </c>
    </row>
    <row r="28" spans="1:8" ht="15.75" customHeight="1">
      <c r="A28" s="65">
        <v>1531</v>
      </c>
      <c r="B28" s="65" t="s">
        <v>320</v>
      </c>
      <c r="C28" s="65" t="s">
        <v>278</v>
      </c>
      <c r="D28" s="65" t="s">
        <v>321</v>
      </c>
      <c r="E28" s="66">
        <v>2800000</v>
      </c>
    </row>
    <row r="29" spans="1:8" ht="15.75" customHeight="1">
      <c r="A29" s="65">
        <v>1931</v>
      </c>
      <c r="B29" s="65" t="s">
        <v>322</v>
      </c>
      <c r="C29" s="65" t="s">
        <v>262</v>
      </c>
      <c r="D29" s="65" t="s">
        <v>263</v>
      </c>
      <c r="E29" s="66">
        <v>2560000</v>
      </c>
    </row>
    <row r="30" spans="1:8" ht="15.75" customHeight="1">
      <c r="A30" s="65">
        <v>1932</v>
      </c>
      <c r="B30" s="65" t="s">
        <v>323</v>
      </c>
      <c r="C30" s="65" t="s">
        <v>262</v>
      </c>
      <c r="D30" s="65" t="s">
        <v>263</v>
      </c>
      <c r="E30" s="66">
        <v>2400000</v>
      </c>
    </row>
    <row r="31" spans="1:8" ht="15.75" customHeight="1">
      <c r="A31" s="65">
        <v>1291</v>
      </c>
      <c r="B31" s="65" t="s">
        <v>324</v>
      </c>
      <c r="C31" s="65" t="s">
        <v>262</v>
      </c>
      <c r="D31" s="65" t="s">
        <v>282</v>
      </c>
      <c r="E31" s="66">
        <v>1350000</v>
      </c>
    </row>
    <row r="32" spans="1:8" ht="15.75" customHeight="1">
      <c r="A32" s="65">
        <v>1530</v>
      </c>
      <c r="B32" s="65" t="s">
        <v>325</v>
      </c>
      <c r="C32" s="65" t="s">
        <v>262</v>
      </c>
      <c r="D32" s="65" t="s">
        <v>267</v>
      </c>
      <c r="E32" s="66">
        <v>1460000</v>
      </c>
    </row>
    <row r="33" spans="1:5" ht="15.75" customHeight="1">
      <c r="A33" s="65">
        <v>1152</v>
      </c>
      <c r="B33" s="65" t="s">
        <v>326</v>
      </c>
      <c r="C33" s="65" t="s">
        <v>262</v>
      </c>
      <c r="D33" s="65" t="s">
        <v>267</v>
      </c>
      <c r="E33" s="66">
        <v>1350000</v>
      </c>
    </row>
    <row r="34" spans="1:5" ht="15.75" customHeight="1">
      <c r="A34" s="65">
        <v>1079</v>
      </c>
      <c r="B34" s="65" t="s">
        <v>327</v>
      </c>
      <c r="C34" s="65" t="s">
        <v>262</v>
      </c>
      <c r="D34" s="65" t="s">
        <v>267</v>
      </c>
      <c r="E34" s="66">
        <v>1350000</v>
      </c>
    </row>
    <row r="35" spans="1:5" ht="15.75" customHeight="1">
      <c r="A35" s="65">
        <v>1676</v>
      </c>
      <c r="B35" s="65" t="s">
        <v>328</v>
      </c>
      <c r="C35" s="65" t="s">
        <v>262</v>
      </c>
      <c r="D35" s="65" t="s">
        <v>267</v>
      </c>
      <c r="E35" s="66">
        <v>1500000</v>
      </c>
    </row>
    <row r="36" spans="1:5" ht="15.75" customHeight="1">
      <c r="A36" s="65">
        <v>1290</v>
      </c>
      <c r="B36" s="65" t="s">
        <v>329</v>
      </c>
      <c r="C36" s="65" t="s">
        <v>262</v>
      </c>
      <c r="D36" s="65" t="s">
        <v>267</v>
      </c>
      <c r="E36" s="66">
        <v>1350000</v>
      </c>
    </row>
    <row r="37" spans="1:5" ht="15.75" customHeight="1">
      <c r="A37" s="65">
        <v>1961</v>
      </c>
      <c r="B37" s="65" t="s">
        <v>330</v>
      </c>
      <c r="C37" s="65" t="s">
        <v>262</v>
      </c>
      <c r="D37" s="65" t="s">
        <v>267</v>
      </c>
      <c r="E37" s="66">
        <v>1350000</v>
      </c>
    </row>
    <row r="38" spans="1:5" ht="15.75" customHeight="1">
      <c r="A38" s="65">
        <v>1675</v>
      </c>
      <c r="B38" s="65" t="s">
        <v>331</v>
      </c>
      <c r="C38" s="65" t="s">
        <v>262</v>
      </c>
      <c r="D38" s="65" t="s">
        <v>267</v>
      </c>
      <c r="E38" s="66">
        <v>1350000</v>
      </c>
    </row>
    <row r="39" spans="1:5" ht="15.75" customHeight="1">
      <c r="A39" s="65">
        <v>1368</v>
      </c>
      <c r="B39" s="65" t="s">
        <v>332</v>
      </c>
      <c r="C39" s="65" t="s">
        <v>262</v>
      </c>
      <c r="D39" s="65" t="s">
        <v>267</v>
      </c>
      <c r="E39" s="66">
        <v>1280000</v>
      </c>
    </row>
    <row r="40" spans="1:5" ht="15.75" customHeight="1">
      <c r="A40" s="65">
        <v>1153</v>
      </c>
      <c r="B40" s="65" t="s">
        <v>333</v>
      </c>
      <c r="C40" s="65" t="s">
        <v>262</v>
      </c>
      <c r="D40" s="65" t="s">
        <v>321</v>
      </c>
      <c r="E40" s="66">
        <v>1350000</v>
      </c>
    </row>
    <row r="41" spans="1:5" ht="15.75" customHeight="1">
      <c r="A41" s="65">
        <v>1960</v>
      </c>
      <c r="B41" s="65" t="s">
        <v>334</v>
      </c>
      <c r="C41" s="65" t="s">
        <v>262</v>
      </c>
      <c r="D41" s="65" t="s">
        <v>282</v>
      </c>
      <c r="E41" s="66">
        <v>1350000</v>
      </c>
    </row>
    <row r="42" spans="1:5" ht="15.75" customHeight="1">
      <c r="A42" s="65">
        <v>1908</v>
      </c>
      <c r="B42" s="65" t="s">
        <v>335</v>
      </c>
      <c r="C42" s="65" t="s">
        <v>262</v>
      </c>
      <c r="D42" s="65" t="s">
        <v>263</v>
      </c>
      <c r="E42" s="66">
        <v>5600000</v>
      </c>
    </row>
    <row r="43" spans="1:5" ht="15.75" customHeight="1">
      <c r="A43" s="65">
        <v>1011</v>
      </c>
      <c r="B43" s="65" t="s">
        <v>336</v>
      </c>
      <c r="C43" s="65" t="s">
        <v>262</v>
      </c>
      <c r="D43" s="65" t="s">
        <v>267</v>
      </c>
      <c r="E43" s="66">
        <v>2700000</v>
      </c>
    </row>
    <row r="44" spans="1:5" ht="15.75" customHeight="1">
      <c r="A44" s="65">
        <v>1359</v>
      </c>
      <c r="B44" s="65" t="s">
        <v>337</v>
      </c>
      <c r="C44" s="65" t="s">
        <v>270</v>
      </c>
      <c r="D44" s="65" t="s">
        <v>267</v>
      </c>
      <c r="E44" s="66">
        <v>2300000</v>
      </c>
    </row>
    <row r="45" spans="1:5" ht="15.75" customHeight="1">
      <c r="A45" s="65">
        <v>1724</v>
      </c>
      <c r="B45" s="65" t="s">
        <v>338</v>
      </c>
      <c r="C45" s="65" t="s">
        <v>270</v>
      </c>
      <c r="D45" s="65" t="s">
        <v>267</v>
      </c>
      <c r="E45" s="66">
        <v>2300000</v>
      </c>
    </row>
    <row r="46" spans="1:5" ht="15.75" customHeight="1">
      <c r="A46" s="65">
        <v>1923</v>
      </c>
      <c r="B46" s="65" t="s">
        <v>339</v>
      </c>
      <c r="C46" s="65" t="s">
        <v>270</v>
      </c>
      <c r="D46" s="65" t="s">
        <v>267</v>
      </c>
      <c r="E46" s="66">
        <v>2300000</v>
      </c>
    </row>
    <row r="47" spans="1:5" ht="15.75" customHeight="1">
      <c r="A47" s="65">
        <v>1794</v>
      </c>
      <c r="B47" s="65" t="s">
        <v>340</v>
      </c>
      <c r="C47" s="65" t="s">
        <v>270</v>
      </c>
      <c r="D47" s="65" t="s">
        <v>267</v>
      </c>
      <c r="E47" s="66">
        <v>2300000</v>
      </c>
    </row>
    <row r="48" spans="1:5" ht="15.75" customHeight="1">
      <c r="A48" s="65">
        <v>1558</v>
      </c>
      <c r="B48" s="65" t="s">
        <v>341</v>
      </c>
      <c r="C48" s="65" t="s">
        <v>270</v>
      </c>
      <c r="D48" s="65" t="s">
        <v>267</v>
      </c>
      <c r="E48" s="66">
        <v>2300000</v>
      </c>
    </row>
    <row r="49" spans="1:5" ht="15.75" customHeight="1">
      <c r="A49" s="65">
        <v>1949</v>
      </c>
      <c r="B49" s="65" t="s">
        <v>342</v>
      </c>
      <c r="C49" s="65" t="s">
        <v>270</v>
      </c>
      <c r="D49" s="65" t="s">
        <v>267</v>
      </c>
      <c r="E49" s="66">
        <v>4100000</v>
      </c>
    </row>
    <row r="50" spans="1:5" ht="15.75" customHeight="1">
      <c r="A50" s="65">
        <v>1311</v>
      </c>
      <c r="B50" s="65" t="s">
        <v>343</v>
      </c>
      <c r="C50" s="65" t="s">
        <v>270</v>
      </c>
      <c r="D50" s="65" t="s">
        <v>267</v>
      </c>
      <c r="E50" s="66">
        <v>3800000</v>
      </c>
    </row>
    <row r="51" spans="1:5" ht="15.75" customHeight="1">
      <c r="A51" s="65">
        <v>1906</v>
      </c>
      <c r="B51" s="65" t="s">
        <v>344</v>
      </c>
      <c r="C51" s="65" t="s">
        <v>270</v>
      </c>
      <c r="D51" s="65" t="s">
        <v>282</v>
      </c>
      <c r="E51" s="66">
        <v>1350000</v>
      </c>
    </row>
    <row r="52" spans="1:5" ht="15.75" customHeight="1">
      <c r="A52" s="65">
        <v>1656</v>
      </c>
      <c r="B52" s="65" t="s">
        <v>345</v>
      </c>
      <c r="C52" s="65" t="s">
        <v>270</v>
      </c>
      <c r="D52" s="65" t="s">
        <v>263</v>
      </c>
      <c r="E52" s="66">
        <v>2500000</v>
      </c>
    </row>
    <row r="53" spans="1:5" ht="15.75" customHeight="1">
      <c r="A53" s="65">
        <v>1907</v>
      </c>
      <c r="B53" s="65" t="s">
        <v>346</v>
      </c>
      <c r="C53" s="65" t="s">
        <v>270</v>
      </c>
      <c r="D53" s="65" t="s">
        <v>263</v>
      </c>
      <c r="E53" s="66">
        <v>2600000</v>
      </c>
    </row>
    <row r="54" spans="1:5" ht="15.75" customHeight="1">
      <c r="A54" s="65">
        <v>1724</v>
      </c>
      <c r="B54" s="65" t="s">
        <v>347</v>
      </c>
      <c r="C54" s="65" t="s">
        <v>270</v>
      </c>
      <c r="D54" s="65" t="s">
        <v>263</v>
      </c>
      <c r="E54" s="66">
        <v>2960000</v>
      </c>
    </row>
    <row r="55" spans="1:5" ht="15.75" customHeight="1">
      <c r="A55" s="65">
        <v>1301</v>
      </c>
      <c r="B55" s="65" t="s">
        <v>348</v>
      </c>
      <c r="C55" s="65" t="s">
        <v>270</v>
      </c>
      <c r="D55" s="65" t="s">
        <v>282</v>
      </c>
      <c r="E55" s="66">
        <v>1350000</v>
      </c>
    </row>
    <row r="56" spans="1:5" ht="15.75" customHeight="1">
      <c r="A56" s="65">
        <v>1292</v>
      </c>
      <c r="B56" s="65" t="s">
        <v>349</v>
      </c>
      <c r="C56" s="65" t="s">
        <v>270</v>
      </c>
      <c r="D56" s="65" t="s">
        <v>263</v>
      </c>
      <c r="E56" s="66">
        <v>4350000</v>
      </c>
    </row>
    <row r="57" spans="1:5" ht="15.75" customHeight="1">
      <c r="A57" s="65">
        <v>1167</v>
      </c>
      <c r="B57" s="65" t="s">
        <v>350</v>
      </c>
      <c r="C57" s="65" t="s">
        <v>270</v>
      </c>
      <c r="D57" s="65" t="s">
        <v>263</v>
      </c>
      <c r="E57" s="66">
        <v>5600000</v>
      </c>
    </row>
    <row r="58" spans="1:5" ht="15.75" customHeight="1">
      <c r="A58" s="65">
        <v>1950</v>
      </c>
      <c r="B58" s="65" t="s">
        <v>351</v>
      </c>
      <c r="C58" s="65" t="s">
        <v>270</v>
      </c>
      <c r="D58" s="65" t="s">
        <v>267</v>
      </c>
      <c r="E58" s="66">
        <v>4900000</v>
      </c>
    </row>
    <row r="59" spans="1:5" ht="15.75" customHeight="1">
      <c r="A59" s="65">
        <v>1792</v>
      </c>
      <c r="B59" s="65" t="s">
        <v>352</v>
      </c>
      <c r="C59" s="65" t="s">
        <v>270</v>
      </c>
      <c r="D59" s="65" t="s">
        <v>321</v>
      </c>
      <c r="E59" s="66">
        <v>2000000</v>
      </c>
    </row>
    <row r="60" spans="1:5" ht="15.75" customHeight="1">
      <c r="A60" s="65">
        <v>1977</v>
      </c>
      <c r="B60" s="65" t="s">
        <v>353</v>
      </c>
      <c r="C60" s="65" t="s">
        <v>270</v>
      </c>
      <c r="D60" s="65" t="s">
        <v>321</v>
      </c>
      <c r="E60" s="66">
        <v>1300000</v>
      </c>
    </row>
    <row r="61" spans="1:5" ht="15.75" customHeight="1">
      <c r="A61" s="65">
        <v>1067</v>
      </c>
      <c r="B61" s="65" t="s">
        <v>354</v>
      </c>
      <c r="C61" s="65" t="s">
        <v>270</v>
      </c>
      <c r="D61" s="65" t="s">
        <v>321</v>
      </c>
      <c r="E61" s="66">
        <v>1100000</v>
      </c>
    </row>
    <row r="62" spans="1:5" ht="15.75" customHeight="1">
      <c r="A62" s="65">
        <v>1976</v>
      </c>
      <c r="B62" s="65" t="s">
        <v>355</v>
      </c>
      <c r="C62" s="65" t="s">
        <v>278</v>
      </c>
      <c r="D62" s="65" t="s">
        <v>282</v>
      </c>
      <c r="E62" s="66">
        <v>1350000</v>
      </c>
    </row>
    <row r="63" spans="1:5" ht="15.75" customHeight="1">
      <c r="A63" s="65">
        <v>1168</v>
      </c>
      <c r="B63" s="65" t="s">
        <v>356</v>
      </c>
      <c r="C63" s="65" t="s">
        <v>278</v>
      </c>
      <c r="D63" s="65" t="s">
        <v>282</v>
      </c>
      <c r="E63" s="66">
        <v>1350000</v>
      </c>
    </row>
    <row r="64" spans="1:5" ht="15.75" customHeight="1">
      <c r="A64" s="65">
        <v>1815</v>
      </c>
      <c r="B64" s="65" t="s">
        <v>357</v>
      </c>
      <c r="C64" s="65" t="s">
        <v>278</v>
      </c>
      <c r="D64" s="65" t="s">
        <v>263</v>
      </c>
      <c r="E64" s="66">
        <v>5600000</v>
      </c>
    </row>
    <row r="65" spans="1:5" ht="15.75" customHeight="1">
      <c r="A65" s="65">
        <v>1068</v>
      </c>
      <c r="B65" s="65" t="s">
        <v>358</v>
      </c>
      <c r="C65" s="65" t="s">
        <v>278</v>
      </c>
      <c r="D65" s="65" t="s">
        <v>267</v>
      </c>
      <c r="E65" s="66">
        <v>3200000</v>
      </c>
    </row>
    <row r="66" spans="1:5" ht="15.75" customHeight="1">
      <c r="A66" s="65">
        <v>1012</v>
      </c>
      <c r="B66" s="65" t="s">
        <v>359</v>
      </c>
      <c r="C66" s="65" t="s">
        <v>278</v>
      </c>
      <c r="D66" s="65" t="s">
        <v>267</v>
      </c>
      <c r="E66" s="66">
        <v>2400000</v>
      </c>
    </row>
    <row r="67" spans="1:5" ht="15.75" customHeight="1">
      <c r="A67" s="65">
        <v>1301</v>
      </c>
      <c r="B67" s="65" t="s">
        <v>360</v>
      </c>
      <c r="C67" s="65" t="s">
        <v>278</v>
      </c>
      <c r="D67" s="65" t="s">
        <v>267</v>
      </c>
      <c r="E67" s="66">
        <v>3200000</v>
      </c>
    </row>
    <row r="68" spans="1:5" ht="15.75" customHeight="1">
      <c r="A68" s="65">
        <v>1556</v>
      </c>
      <c r="B68" s="65" t="s">
        <v>361</v>
      </c>
      <c r="C68" s="65" t="s">
        <v>278</v>
      </c>
      <c r="D68" s="65" t="s">
        <v>267</v>
      </c>
      <c r="E68" s="66">
        <v>3200000</v>
      </c>
    </row>
    <row r="69" spans="1:5" ht="15.75" customHeight="1">
      <c r="A69" s="65">
        <v>1933</v>
      </c>
      <c r="B69" s="65" t="s">
        <v>362</v>
      </c>
      <c r="C69" s="65" t="s">
        <v>278</v>
      </c>
      <c r="D69" s="65" t="s">
        <v>267</v>
      </c>
      <c r="E69" s="66">
        <v>3200000</v>
      </c>
    </row>
    <row r="70" spans="1:5" ht="15.75" customHeight="1">
      <c r="A70" s="65">
        <v>1333</v>
      </c>
      <c r="B70" s="65" t="s">
        <v>363</v>
      </c>
      <c r="C70" s="65" t="s">
        <v>278</v>
      </c>
      <c r="D70" s="65" t="s">
        <v>267</v>
      </c>
      <c r="E70" s="66">
        <v>3200000</v>
      </c>
    </row>
    <row r="71" spans="1:5" ht="15.75" customHeight="1">
      <c r="A71" s="65">
        <v>1510</v>
      </c>
      <c r="B71" s="65" t="s">
        <v>364</v>
      </c>
      <c r="C71" s="65" t="s">
        <v>278</v>
      </c>
      <c r="D71" s="65" t="s">
        <v>267</v>
      </c>
      <c r="E71" s="66">
        <v>4800000</v>
      </c>
    </row>
    <row r="72" spans="1:5" ht="15.75" customHeight="1">
      <c r="A72" s="65">
        <v>1574</v>
      </c>
      <c r="B72" s="65" t="s">
        <v>365</v>
      </c>
      <c r="C72" s="65" t="s">
        <v>278</v>
      </c>
      <c r="D72" s="65" t="s">
        <v>267</v>
      </c>
      <c r="E72" s="66">
        <v>3200000</v>
      </c>
    </row>
    <row r="73" spans="1:5" ht="15.75" customHeight="1">
      <c r="A73" s="65">
        <v>1360</v>
      </c>
      <c r="B73" s="65" t="s">
        <v>366</v>
      </c>
      <c r="C73" s="65" t="s">
        <v>278</v>
      </c>
      <c r="D73" s="65" t="s">
        <v>267</v>
      </c>
      <c r="E73" s="66">
        <v>4000000</v>
      </c>
    </row>
    <row r="74" spans="1:5" ht="15.75" customHeight="1">
      <c r="A74" s="65">
        <v>1293</v>
      </c>
      <c r="B74" s="65" t="s">
        <v>367</v>
      </c>
      <c r="C74" s="65" t="s">
        <v>278</v>
      </c>
      <c r="D74" s="65" t="s">
        <v>321</v>
      </c>
      <c r="E74" s="66">
        <v>1700000</v>
      </c>
    </row>
    <row r="75" spans="1:5" ht="15.75" customHeight="1">
      <c r="A75" s="65">
        <v>1329</v>
      </c>
      <c r="B75" s="65" t="s">
        <v>368</v>
      </c>
      <c r="C75" s="65" t="s">
        <v>283</v>
      </c>
      <c r="D75" s="65" t="s">
        <v>267</v>
      </c>
      <c r="E75" s="66">
        <v>3500000</v>
      </c>
    </row>
    <row r="76" spans="1:5" ht="15.75" customHeight="1">
      <c r="A76" s="65">
        <v>1572</v>
      </c>
      <c r="B76" s="65" t="s">
        <v>369</v>
      </c>
      <c r="C76" s="65" t="s">
        <v>283</v>
      </c>
      <c r="D76" s="65" t="s">
        <v>267</v>
      </c>
      <c r="E76" s="66">
        <v>3600000</v>
      </c>
    </row>
    <row r="77" spans="1:5" ht="15.75" customHeight="1">
      <c r="A77" s="65">
        <v>1300</v>
      </c>
      <c r="B77" s="65" t="s">
        <v>370</v>
      </c>
      <c r="C77" s="65" t="s">
        <v>283</v>
      </c>
      <c r="D77" s="65" t="s">
        <v>263</v>
      </c>
      <c r="E77" s="66">
        <v>2300000</v>
      </c>
    </row>
    <row r="78" spans="1:5" ht="15.75" customHeight="1">
      <c r="A78" s="65">
        <v>1557</v>
      </c>
      <c r="B78" s="65" t="s">
        <v>371</v>
      </c>
      <c r="C78" s="65" t="s">
        <v>283</v>
      </c>
      <c r="D78" s="65" t="s">
        <v>282</v>
      </c>
      <c r="E78" s="66">
        <v>1390000</v>
      </c>
    </row>
    <row r="79" spans="1:5" ht="15.75" customHeight="1">
      <c r="A79" s="65">
        <v>1169</v>
      </c>
      <c r="B79" s="65" t="s">
        <v>372</v>
      </c>
      <c r="C79" s="65" t="s">
        <v>283</v>
      </c>
      <c r="D79" s="65" t="s">
        <v>263</v>
      </c>
      <c r="E79" s="66">
        <v>5700000</v>
      </c>
    </row>
    <row r="80" spans="1:5" ht="15.75" customHeight="1">
      <c r="A80" s="65">
        <v>1758</v>
      </c>
      <c r="B80" s="65" t="s">
        <v>373</v>
      </c>
      <c r="C80" s="65" t="s">
        <v>283</v>
      </c>
      <c r="D80" s="65" t="s">
        <v>321</v>
      </c>
      <c r="E80" s="66">
        <v>1900000</v>
      </c>
    </row>
    <row r="81" spans="1:5" ht="15.75" customHeight="1">
      <c r="A81" s="65">
        <v>1310</v>
      </c>
      <c r="B81" s="65" t="s">
        <v>374</v>
      </c>
      <c r="C81" s="65" t="s">
        <v>283</v>
      </c>
      <c r="D81" s="65" t="s">
        <v>321</v>
      </c>
      <c r="E81" s="66">
        <v>1350000</v>
      </c>
    </row>
    <row r="82" spans="1:5" ht="15.75" customHeight="1">
      <c r="A82" s="65">
        <v>1041</v>
      </c>
      <c r="B82" s="65" t="s">
        <v>375</v>
      </c>
      <c r="C82" s="65" t="s">
        <v>283</v>
      </c>
      <c r="D82" s="65" t="s">
        <v>267</v>
      </c>
      <c r="E82" s="66">
        <v>4900000</v>
      </c>
    </row>
    <row r="83" spans="1:5" ht="15.75" customHeight="1">
      <c r="A83" s="65">
        <v>1361</v>
      </c>
      <c r="B83" s="65" t="s">
        <v>376</v>
      </c>
      <c r="C83" s="65" t="s">
        <v>283</v>
      </c>
      <c r="D83" s="65" t="s">
        <v>267</v>
      </c>
      <c r="E83" s="66">
        <v>2940000</v>
      </c>
    </row>
    <row r="84" spans="1:5" ht="15.75" customHeight="1">
      <c r="A84" s="65">
        <v>1793</v>
      </c>
      <c r="B84" s="65" t="s">
        <v>377</v>
      </c>
      <c r="C84" s="65" t="s">
        <v>262</v>
      </c>
      <c r="D84" s="65" t="s">
        <v>267</v>
      </c>
      <c r="E84" s="66">
        <v>1350000</v>
      </c>
    </row>
    <row r="85" spans="1:5" ht="15.75" customHeight="1">
      <c r="A85" s="65">
        <v>1967</v>
      </c>
      <c r="B85" s="65" t="s">
        <v>378</v>
      </c>
      <c r="C85" s="65" t="s">
        <v>262</v>
      </c>
      <c r="D85" s="65" t="s">
        <v>282</v>
      </c>
      <c r="E85" s="66">
        <v>1350000</v>
      </c>
    </row>
    <row r="86" spans="1:5" ht="15.75" customHeight="1">
      <c r="A86" s="65">
        <v>1725</v>
      </c>
      <c r="B86" s="65" t="s">
        <v>379</v>
      </c>
      <c r="C86" s="65" t="s">
        <v>262</v>
      </c>
      <c r="D86" s="65" t="s">
        <v>263</v>
      </c>
      <c r="E86" s="66">
        <v>5600000</v>
      </c>
    </row>
    <row r="87" spans="1:5" ht="15.75" customHeight="1">
      <c r="A87" s="65">
        <v>1969</v>
      </c>
      <c r="B87" s="65" t="s">
        <v>380</v>
      </c>
      <c r="C87" s="65" t="s">
        <v>262</v>
      </c>
      <c r="D87" s="65" t="s">
        <v>381</v>
      </c>
      <c r="E87" s="66">
        <v>980000</v>
      </c>
    </row>
    <row r="88" spans="1:5" ht="15.75" customHeight="1">
      <c r="A88" s="65">
        <v>1962</v>
      </c>
      <c r="B88" s="65" t="s">
        <v>382</v>
      </c>
      <c r="C88" s="65" t="s">
        <v>262</v>
      </c>
      <c r="D88" s="65" t="s">
        <v>267</v>
      </c>
      <c r="E88" s="66">
        <v>2900000</v>
      </c>
    </row>
    <row r="89" spans="1:5" ht="15.75" customHeight="1">
      <c r="A89" s="65">
        <v>1967</v>
      </c>
      <c r="B89" s="65" t="s">
        <v>383</v>
      </c>
      <c r="C89" s="65" t="s">
        <v>262</v>
      </c>
      <c r="D89" s="65" t="s">
        <v>267</v>
      </c>
      <c r="E89" s="66">
        <v>4600000</v>
      </c>
    </row>
    <row r="90" spans="1:5" ht="15.75" customHeight="1">
      <c r="A90" s="65">
        <v>1426</v>
      </c>
      <c r="B90" s="65" t="s">
        <v>384</v>
      </c>
      <c r="C90" s="65" t="s">
        <v>262</v>
      </c>
      <c r="D90" s="65" t="s">
        <v>267</v>
      </c>
      <c r="E90" s="66">
        <v>5600000</v>
      </c>
    </row>
    <row r="91" spans="1:5" ht="15.75" customHeight="1">
      <c r="A91" s="65">
        <v>1509</v>
      </c>
      <c r="B91" s="65" t="s">
        <v>385</v>
      </c>
      <c r="C91" s="65" t="s">
        <v>278</v>
      </c>
      <c r="D91" s="65" t="s">
        <v>282</v>
      </c>
      <c r="E91" s="66">
        <v>1350000</v>
      </c>
    </row>
    <row r="92" spans="1:5" ht="15.75" customHeight="1">
      <c r="A92" s="65">
        <v>1673</v>
      </c>
      <c r="B92" s="65" t="s">
        <v>386</v>
      </c>
      <c r="C92" s="65" t="s">
        <v>278</v>
      </c>
      <c r="D92" s="65" t="s">
        <v>267</v>
      </c>
      <c r="E92" s="66">
        <v>1350000</v>
      </c>
    </row>
    <row r="93" spans="1:5" ht="15.75" customHeight="1">
      <c r="A93" s="65">
        <v>1352</v>
      </c>
      <c r="B93" s="65" t="s">
        <v>387</v>
      </c>
      <c r="C93" s="65" t="s">
        <v>278</v>
      </c>
      <c r="D93" s="65" t="s">
        <v>267</v>
      </c>
      <c r="E93" s="66">
        <v>1980000</v>
      </c>
    </row>
    <row r="94" spans="1:5" ht="15.75" customHeight="1">
      <c r="A94" s="65">
        <v>1922</v>
      </c>
      <c r="B94" s="65" t="s">
        <v>388</v>
      </c>
      <c r="C94" s="65" t="s">
        <v>278</v>
      </c>
      <c r="D94" s="65" t="s">
        <v>267</v>
      </c>
      <c r="E94" s="66">
        <v>2100000</v>
      </c>
    </row>
    <row r="95" spans="1:5" ht="15.75" customHeight="1">
      <c r="A95" s="65">
        <v>1518</v>
      </c>
      <c r="B95" s="65" t="s">
        <v>389</v>
      </c>
      <c r="C95" s="65" t="s">
        <v>278</v>
      </c>
      <c r="D95" s="65" t="s">
        <v>267</v>
      </c>
      <c r="E95" s="66">
        <v>2600000</v>
      </c>
    </row>
    <row r="96" spans="1:5" ht="15.75" customHeight="1">
      <c r="A96" s="65">
        <v>1331</v>
      </c>
      <c r="B96" s="65" t="s">
        <v>390</v>
      </c>
      <c r="C96" s="65" t="s">
        <v>278</v>
      </c>
      <c r="D96" s="65" t="s">
        <v>267</v>
      </c>
      <c r="E96" s="66">
        <v>3100000</v>
      </c>
    </row>
    <row r="97" spans="1:5" ht="15.75" customHeight="1">
      <c r="A97" s="65">
        <v>1303</v>
      </c>
      <c r="B97" s="65" t="s">
        <v>391</v>
      </c>
      <c r="C97" s="65" t="s">
        <v>278</v>
      </c>
      <c r="D97" s="65" t="s">
        <v>263</v>
      </c>
      <c r="E97" s="66">
        <v>5600000</v>
      </c>
    </row>
    <row r="98" spans="1:5" ht="15.75" customHeight="1">
      <c r="A98" s="65">
        <v>1302</v>
      </c>
      <c r="B98" s="65" t="s">
        <v>392</v>
      </c>
      <c r="C98" s="65" t="s">
        <v>278</v>
      </c>
      <c r="D98" s="65" t="s">
        <v>267</v>
      </c>
      <c r="E98" s="66">
        <v>3800000</v>
      </c>
    </row>
    <row r="99" spans="1:5" ht="15.75" customHeight="1">
      <c r="A99" s="65">
        <v>1334</v>
      </c>
      <c r="B99" s="65" t="s">
        <v>393</v>
      </c>
      <c r="C99" s="65" t="s">
        <v>278</v>
      </c>
      <c r="D99" s="65" t="s">
        <v>282</v>
      </c>
      <c r="E99" s="66">
        <v>1350000</v>
      </c>
    </row>
    <row r="100" spans="1:5" ht="15.75" customHeight="1">
      <c r="A100" s="65">
        <v>1975</v>
      </c>
      <c r="B100" s="65" t="s">
        <v>394</v>
      </c>
      <c r="C100" s="65" t="s">
        <v>287</v>
      </c>
      <c r="D100" s="65" t="s">
        <v>267</v>
      </c>
      <c r="E100" s="66">
        <v>3200000</v>
      </c>
    </row>
    <row r="101" spans="1:5" ht="15.75" customHeight="1">
      <c r="A101" s="65">
        <v>1759</v>
      </c>
      <c r="B101" s="65" t="s">
        <v>395</v>
      </c>
      <c r="C101" s="65" t="s">
        <v>287</v>
      </c>
      <c r="D101" s="65" t="s">
        <v>267</v>
      </c>
      <c r="E101" s="66">
        <v>4700000</v>
      </c>
    </row>
    <row r="102" spans="1:5" ht="15.75" customHeight="1">
      <c r="A102" s="65">
        <v>1055</v>
      </c>
      <c r="B102" s="65" t="s">
        <v>396</v>
      </c>
      <c r="C102" s="65" t="s">
        <v>287</v>
      </c>
      <c r="D102" s="65" t="s">
        <v>267</v>
      </c>
      <c r="E102" s="66">
        <v>3200000</v>
      </c>
    </row>
    <row r="103" spans="1:5" ht="15.75" customHeight="1">
      <c r="A103" s="65">
        <v>1054</v>
      </c>
      <c r="B103" s="65" t="s">
        <v>397</v>
      </c>
      <c r="C103" s="65" t="s">
        <v>287</v>
      </c>
      <c r="D103" s="65" t="s">
        <v>398</v>
      </c>
      <c r="E103" s="66">
        <v>4100000</v>
      </c>
    </row>
    <row r="104" spans="1:5" ht="15.75" customHeight="1">
      <c r="A104" s="65">
        <v>1075</v>
      </c>
      <c r="B104" s="65" t="s">
        <v>399</v>
      </c>
      <c r="C104" s="65" t="s">
        <v>287</v>
      </c>
      <c r="D104" s="65" t="s">
        <v>398</v>
      </c>
      <c r="E104" s="66">
        <v>3200000</v>
      </c>
    </row>
    <row r="105" spans="1:5" ht="15.75" customHeight="1">
      <c r="A105" s="65">
        <v>1966</v>
      </c>
      <c r="B105" s="65" t="s">
        <v>400</v>
      </c>
      <c r="C105" s="65" t="s">
        <v>287</v>
      </c>
      <c r="D105" s="65" t="s">
        <v>398</v>
      </c>
      <c r="E105" s="66">
        <v>3900000</v>
      </c>
    </row>
    <row r="106" spans="1:5" ht="15.75" customHeight="1">
      <c r="A106" s="65">
        <v>1354</v>
      </c>
      <c r="B106" s="65" t="s">
        <v>401</v>
      </c>
      <c r="C106" s="65" t="s">
        <v>287</v>
      </c>
      <c r="D106" s="65" t="s">
        <v>263</v>
      </c>
      <c r="E106" s="66">
        <v>3200000</v>
      </c>
    </row>
    <row r="107" spans="1:5" ht="15.75" customHeight="1">
      <c r="A107" s="65">
        <v>1696</v>
      </c>
      <c r="B107" s="65" t="s">
        <v>402</v>
      </c>
      <c r="C107" s="65" t="s">
        <v>287</v>
      </c>
      <c r="D107" s="65" t="s">
        <v>267</v>
      </c>
      <c r="E107" s="66">
        <v>3200000</v>
      </c>
    </row>
    <row r="108" spans="1:5" ht="15.75" customHeight="1">
      <c r="A108" s="65">
        <v>1299</v>
      </c>
      <c r="B108" s="65" t="s">
        <v>403</v>
      </c>
      <c r="C108" s="65" t="s">
        <v>287</v>
      </c>
      <c r="D108" s="65" t="s">
        <v>267</v>
      </c>
      <c r="E108" s="66">
        <v>3200000</v>
      </c>
    </row>
    <row r="109" spans="1:5" ht="15.75" customHeight="1">
      <c r="A109" s="65">
        <v>1529</v>
      </c>
      <c r="B109" s="65" t="s">
        <v>404</v>
      </c>
      <c r="C109" s="65" t="s">
        <v>291</v>
      </c>
      <c r="D109" s="65" t="s">
        <v>267</v>
      </c>
      <c r="E109" s="66">
        <v>3200000</v>
      </c>
    </row>
    <row r="110" spans="1:5" ht="15.75" customHeight="1">
      <c r="A110" s="65">
        <v>1080</v>
      </c>
      <c r="B110" s="65" t="s">
        <v>405</v>
      </c>
      <c r="C110" s="65" t="s">
        <v>291</v>
      </c>
      <c r="D110" s="65" t="s">
        <v>398</v>
      </c>
      <c r="E110" s="66">
        <v>3700000</v>
      </c>
    </row>
    <row r="111" spans="1:5" ht="15.75" customHeight="1">
      <c r="A111" s="65">
        <v>1353</v>
      </c>
      <c r="B111" s="65" t="s">
        <v>406</v>
      </c>
      <c r="C111" s="65" t="s">
        <v>291</v>
      </c>
      <c r="D111" s="65" t="s">
        <v>398</v>
      </c>
      <c r="E111" s="66">
        <v>360000000</v>
      </c>
    </row>
    <row r="112" spans="1:5" ht="15.75" customHeight="1">
      <c r="A112" s="65">
        <v>1369</v>
      </c>
      <c r="B112" s="65" t="s">
        <v>407</v>
      </c>
      <c r="C112" s="65" t="s">
        <v>291</v>
      </c>
      <c r="D112" s="65" t="s">
        <v>263</v>
      </c>
      <c r="E112" s="66">
        <v>4200000</v>
      </c>
    </row>
    <row r="113" spans="1:5" ht="15.75" customHeight="1">
      <c r="A113" s="65">
        <v>1370</v>
      </c>
      <c r="B113" s="65" t="s">
        <v>408</v>
      </c>
      <c r="C113" s="65" t="s">
        <v>291</v>
      </c>
      <c r="D113" s="65" t="s">
        <v>398</v>
      </c>
      <c r="E113" s="66">
        <v>3600000</v>
      </c>
    </row>
    <row r="114" spans="1:5" ht="15.75" customHeight="1">
      <c r="A114" s="65">
        <v>1677</v>
      </c>
      <c r="B114" s="65" t="s">
        <v>409</v>
      </c>
      <c r="C114" s="65" t="s">
        <v>291</v>
      </c>
      <c r="D114" s="65" t="s">
        <v>398</v>
      </c>
      <c r="E114" s="66">
        <v>3700000</v>
      </c>
    </row>
    <row r="115" spans="1:5" ht="15.75" customHeight="1">
      <c r="A115" s="65">
        <v>1427</v>
      </c>
      <c r="B115" s="65" t="s">
        <v>410</v>
      </c>
      <c r="C115" s="65" t="s">
        <v>291</v>
      </c>
      <c r="D115" s="65" t="s">
        <v>398</v>
      </c>
      <c r="E115" s="66">
        <v>3400000</v>
      </c>
    </row>
    <row r="116" spans="1:5" ht="15.75" customHeight="1"/>
    <row r="117" spans="1:5" ht="15.75" customHeight="1"/>
    <row r="118" spans="1:5" ht="15.75" customHeight="1"/>
    <row r="119" spans="1:5" ht="15.75" customHeight="1"/>
    <row r="120" spans="1:5" ht="15.75" customHeight="1"/>
    <row r="121" spans="1:5" ht="15.75" customHeight="1"/>
    <row r="122" spans="1:5" ht="15.75" customHeight="1"/>
    <row r="123" spans="1:5" ht="15.75" customHeight="1"/>
    <row r="124" spans="1:5" ht="15.75" customHeight="1"/>
    <row r="125" spans="1:5" ht="15.75" customHeight="1"/>
    <row r="126" spans="1:5" ht="15.75" customHeight="1"/>
    <row r="127" spans="1:5" ht="15.75" customHeight="1"/>
    <row r="128" spans="1:5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9">
    <mergeCell ref="K8:N8"/>
    <mergeCell ref="G11:H11"/>
    <mergeCell ref="G1:I1"/>
    <mergeCell ref="K1:N1"/>
    <mergeCell ref="K2:N3"/>
    <mergeCell ref="K4:N4"/>
    <mergeCell ref="K5:N5"/>
    <mergeCell ref="K6:N6"/>
    <mergeCell ref="K7:N7"/>
  </mergeCells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Ejercicio-Básico</vt:lpstr>
      <vt:lpstr>Ejercicio-Básico 2</vt:lpstr>
      <vt:lpstr>Tabla</vt:lpstr>
      <vt:lpstr>Ejercicio-Referencias Relativa</vt:lpstr>
      <vt:lpstr>Filtro Avanzado</vt:lpstr>
      <vt:lpstr>Ejercicio-Filtro Avanzado</vt:lpstr>
      <vt:lpstr>Ejercicio3</vt:lpstr>
      <vt:lpstr>'Filtro Avanzado'!Criterios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Crispin</dc:creator>
  <cp:lastModifiedBy>Usuario de Windows</cp:lastModifiedBy>
  <dcterms:created xsi:type="dcterms:W3CDTF">2021-01-13T04:59:57Z</dcterms:created>
  <dcterms:modified xsi:type="dcterms:W3CDTF">2024-07-01T16:47:41Z</dcterms:modified>
</cp:coreProperties>
</file>